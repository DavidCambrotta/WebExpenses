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dcc1brg\Desktop\Documentos\WebExpenses\Excels\"/>
    </mc:Choice>
  </mc:AlternateContent>
  <xr:revisionPtr revIDLastSave="0" documentId="13_ncr:1_{57056C54-461E-4DA3-B738-19CE76E3105E}" xr6:coauthVersionLast="47" xr6:coauthVersionMax="47" xr10:uidLastSave="{00000000-0000-0000-0000-000000000000}"/>
  <bookViews>
    <workbookView xWindow="5580" yWindow="3810" windowWidth="21600" windowHeight="12645" tabRatio="529" activeTab="1" xr2:uid="{00000000-000D-0000-FFFF-FFFF00000000}"/>
  </bookViews>
  <sheets>
    <sheet name="Saldo" sheetId="5" r:id="rId1"/>
    <sheet name="Janeiro" sheetId="17" r:id="rId2"/>
    <sheet name="Fevereiro" sheetId="18" r:id="rId3"/>
    <sheet name="Março" sheetId="19" r:id="rId4"/>
    <sheet name="Abril" sheetId="20" r:id="rId5"/>
    <sheet name="Maio" sheetId="21" r:id="rId6"/>
    <sheet name="Junho" sheetId="22" r:id="rId7"/>
    <sheet name="Julho" sheetId="23" r:id="rId8"/>
    <sheet name="Agosto" sheetId="24" r:id="rId9"/>
    <sheet name="Setembro" sheetId="25" r:id="rId10"/>
    <sheet name="Outubro" sheetId="30" r:id="rId11"/>
    <sheet name="Novembro" sheetId="31" r:id="rId12"/>
    <sheet name="Dezembro" sheetId="3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32" l="1"/>
  <c r="L13" i="32" l="1"/>
  <c r="K15" i="5" l="1"/>
  <c r="K14" i="5"/>
  <c r="G12" i="32" l="1"/>
  <c r="L2" i="32" l="1"/>
  <c r="I15" i="5" s="1"/>
  <c r="I4" i="32"/>
  <c r="H33" i="32"/>
  <c r="F33" i="32"/>
  <c r="G15" i="5" s="1"/>
  <c r="E33" i="32"/>
  <c r="F15" i="5" s="1"/>
  <c r="D33" i="32"/>
  <c r="E15" i="5" s="1"/>
  <c r="C33" i="32"/>
  <c r="D15" i="5" s="1"/>
  <c r="I32" i="32"/>
  <c r="I31" i="32"/>
  <c r="I30" i="32"/>
  <c r="I29" i="32"/>
  <c r="I28" i="32"/>
  <c r="I27" i="32"/>
  <c r="I26" i="32"/>
  <c r="I25" i="32"/>
  <c r="I24" i="32"/>
  <c r="I23" i="32"/>
  <c r="I22" i="32"/>
  <c r="I21" i="32"/>
  <c r="I20" i="32"/>
  <c r="I19" i="32"/>
  <c r="I18" i="32"/>
  <c r="I17" i="32"/>
  <c r="I16" i="32"/>
  <c r="I15" i="32"/>
  <c r="I14" i="32"/>
  <c r="I13" i="32"/>
  <c r="I12" i="32"/>
  <c r="I11" i="32"/>
  <c r="I10" i="32"/>
  <c r="I9" i="32"/>
  <c r="I8" i="32"/>
  <c r="I7" i="32"/>
  <c r="I6" i="32"/>
  <c r="I5" i="32"/>
  <c r="I3" i="32"/>
  <c r="G33" i="32"/>
  <c r="H15" i="5" s="1"/>
  <c r="B33" i="32"/>
  <c r="C15" i="5" s="1"/>
  <c r="L14" i="32" l="1"/>
  <c r="I2" i="32"/>
  <c r="I33" i="32" s="1"/>
  <c r="E26" i="31"/>
  <c r="L16" i="32" l="1"/>
  <c r="M14" i="32"/>
  <c r="E10" i="31"/>
  <c r="M16" i="32" l="1"/>
  <c r="L15" i="5"/>
  <c r="L2" i="31"/>
  <c r="I14" i="5" s="1"/>
  <c r="G2" i="31" l="1"/>
  <c r="G33" i="31" s="1"/>
  <c r="H14" i="5" s="1"/>
  <c r="H33" i="31"/>
  <c r="F33" i="31"/>
  <c r="G14" i="5" s="1"/>
  <c r="E33" i="31"/>
  <c r="F14" i="5" s="1"/>
  <c r="D33" i="31"/>
  <c r="E14" i="5" s="1"/>
  <c r="I32" i="31"/>
  <c r="I31" i="31"/>
  <c r="I30" i="31"/>
  <c r="I29" i="31"/>
  <c r="I28" i="31"/>
  <c r="I27" i="31"/>
  <c r="I26" i="31"/>
  <c r="I25" i="31"/>
  <c r="I24" i="31"/>
  <c r="I23" i="31"/>
  <c r="I22" i="31"/>
  <c r="I21" i="31"/>
  <c r="I20" i="31"/>
  <c r="I19" i="31"/>
  <c r="I18" i="31"/>
  <c r="I17" i="31"/>
  <c r="I16" i="31"/>
  <c r="I15" i="31"/>
  <c r="I14" i="31"/>
  <c r="I13" i="31"/>
  <c r="I12" i="31"/>
  <c r="I11" i="31"/>
  <c r="I10" i="31"/>
  <c r="I9" i="31"/>
  <c r="I8" i="31"/>
  <c r="I7" i="31"/>
  <c r="I6" i="31"/>
  <c r="I5" i="31"/>
  <c r="I4" i="31"/>
  <c r="C33" i="31"/>
  <c r="D14" i="5" s="1"/>
  <c r="B2" i="31" l="1"/>
  <c r="B33" i="31" s="1"/>
  <c r="C14" i="5" s="1"/>
  <c r="I2" i="31"/>
  <c r="L14" i="31"/>
  <c r="I3" i="31"/>
  <c r="I33" i="31" s="1"/>
  <c r="G16" i="30"/>
  <c r="M14" i="31" l="1"/>
  <c r="L16" i="31"/>
  <c r="L2" i="30"/>
  <c r="C9" i="30"/>
  <c r="M16" i="31" l="1"/>
  <c r="L14" i="5"/>
  <c r="C3" i="30"/>
  <c r="E13" i="5" l="1"/>
  <c r="I13" i="5"/>
  <c r="K13" i="5"/>
  <c r="H33" i="30"/>
  <c r="G33" i="30"/>
  <c r="H13" i="5" s="1"/>
  <c r="F33" i="30"/>
  <c r="G13" i="5" s="1"/>
  <c r="E33" i="30"/>
  <c r="F13" i="5" s="1"/>
  <c r="D33" i="30"/>
  <c r="C33" i="30"/>
  <c r="D13" i="5" s="1"/>
  <c r="B33" i="30"/>
  <c r="C13" i="5" s="1"/>
  <c r="I32" i="30"/>
  <c r="I31" i="30"/>
  <c r="I30" i="30"/>
  <c r="I29" i="30"/>
  <c r="I28" i="30"/>
  <c r="I27" i="30"/>
  <c r="I26" i="30"/>
  <c r="I25" i="30"/>
  <c r="I24" i="30"/>
  <c r="I23" i="30"/>
  <c r="I22" i="30"/>
  <c r="I21" i="30"/>
  <c r="I20" i="30"/>
  <c r="I19" i="30"/>
  <c r="I18" i="30"/>
  <c r="I17" i="30"/>
  <c r="I16" i="30"/>
  <c r="I15" i="30"/>
  <c r="I14" i="30"/>
  <c r="I13" i="30"/>
  <c r="I12" i="30"/>
  <c r="I11" i="30"/>
  <c r="I10" i="30"/>
  <c r="I9" i="30"/>
  <c r="I8" i="30"/>
  <c r="I7" i="30"/>
  <c r="I6" i="30"/>
  <c r="I5" i="30"/>
  <c r="I4" i="30"/>
  <c r="I3" i="30"/>
  <c r="I2" i="30"/>
  <c r="I33" i="30" l="1"/>
  <c r="L14" i="30"/>
  <c r="L16" i="30" s="1"/>
  <c r="M16" i="30" l="1"/>
  <c r="L13" i="5"/>
  <c r="M14" i="30"/>
  <c r="I12" i="5"/>
  <c r="I11" i="5"/>
  <c r="I10" i="5"/>
  <c r="I9" i="5"/>
  <c r="I8" i="5"/>
  <c r="I7" i="5"/>
  <c r="I6" i="5"/>
  <c r="I5" i="5"/>
  <c r="I4" i="5"/>
  <c r="E13" i="25" l="1"/>
  <c r="F27" i="25"/>
  <c r="E21" i="25" l="1"/>
  <c r="C18" i="25"/>
  <c r="C31" i="24" l="1"/>
  <c r="C26" i="24" l="1"/>
  <c r="G32" i="23"/>
  <c r="C8" i="24" l="1"/>
  <c r="K12" i="5"/>
  <c r="K11" i="5"/>
  <c r="K10" i="5"/>
  <c r="M14" i="5" l="1"/>
  <c r="M13" i="5"/>
  <c r="C5" i="24"/>
  <c r="C26" i="23" l="1"/>
  <c r="K9" i="5" l="1"/>
  <c r="J15" i="5" l="1"/>
  <c r="J14" i="5"/>
  <c r="J13" i="5"/>
  <c r="M15" i="5"/>
  <c r="H33" i="25"/>
  <c r="G33" i="25"/>
  <c r="F33" i="25"/>
  <c r="G12" i="5" s="1"/>
  <c r="E33" i="25"/>
  <c r="F12" i="5" s="1"/>
  <c r="D33" i="25"/>
  <c r="E12" i="5" s="1"/>
  <c r="C33" i="25"/>
  <c r="D12" i="5" s="1"/>
  <c r="B33" i="25"/>
  <c r="C12" i="5" s="1"/>
  <c r="I32" i="25"/>
  <c r="I31" i="25"/>
  <c r="I30" i="25"/>
  <c r="I29" i="25"/>
  <c r="I28" i="25"/>
  <c r="I27" i="25"/>
  <c r="I26" i="25"/>
  <c r="I25" i="25"/>
  <c r="I24" i="25"/>
  <c r="I23" i="25"/>
  <c r="I22" i="25"/>
  <c r="I21" i="25"/>
  <c r="I20" i="25"/>
  <c r="I19" i="25"/>
  <c r="I18" i="25"/>
  <c r="I17" i="25"/>
  <c r="I16" i="25"/>
  <c r="I15" i="25"/>
  <c r="I14" i="25"/>
  <c r="I13" i="25"/>
  <c r="I12" i="25"/>
  <c r="I11" i="25"/>
  <c r="I10" i="25"/>
  <c r="I9" i="25"/>
  <c r="I8" i="25"/>
  <c r="I7" i="25"/>
  <c r="I6" i="25"/>
  <c r="I5" i="25"/>
  <c r="I4" i="25"/>
  <c r="I3" i="25"/>
  <c r="I2" i="25"/>
  <c r="H33" i="24"/>
  <c r="G33" i="24"/>
  <c r="H11" i="5" s="1"/>
  <c r="F33" i="24"/>
  <c r="G11" i="5" s="1"/>
  <c r="E33" i="24"/>
  <c r="F11" i="5" s="1"/>
  <c r="D33" i="24"/>
  <c r="E11" i="5" s="1"/>
  <c r="C33" i="24"/>
  <c r="D11" i="5" s="1"/>
  <c r="B33" i="24"/>
  <c r="I32" i="24"/>
  <c r="I31" i="24"/>
  <c r="I30" i="24"/>
  <c r="I29" i="24"/>
  <c r="I28" i="24"/>
  <c r="I27" i="24"/>
  <c r="I26" i="24"/>
  <c r="I25" i="24"/>
  <c r="I24" i="24"/>
  <c r="I23" i="24"/>
  <c r="I22" i="24"/>
  <c r="I21" i="24"/>
  <c r="I20" i="24"/>
  <c r="I19" i="24"/>
  <c r="I18" i="24"/>
  <c r="I17" i="24"/>
  <c r="I16" i="24"/>
  <c r="I15" i="24"/>
  <c r="I14" i="24"/>
  <c r="I13" i="24"/>
  <c r="I12" i="24"/>
  <c r="I11" i="24"/>
  <c r="I10" i="24"/>
  <c r="I9" i="24"/>
  <c r="I8" i="24"/>
  <c r="I7" i="24"/>
  <c r="I6" i="24"/>
  <c r="I5" i="24"/>
  <c r="I4" i="24"/>
  <c r="I3" i="24"/>
  <c r="I2" i="24"/>
  <c r="H33" i="23"/>
  <c r="G33" i="23"/>
  <c r="H10" i="5" s="1"/>
  <c r="F33" i="23"/>
  <c r="G10" i="5" s="1"/>
  <c r="E33" i="23"/>
  <c r="F10" i="5" s="1"/>
  <c r="D33" i="23"/>
  <c r="E10" i="5" s="1"/>
  <c r="C33" i="23"/>
  <c r="D10" i="5" s="1"/>
  <c r="B33" i="23"/>
  <c r="I32" i="23"/>
  <c r="I31" i="23"/>
  <c r="I30" i="23"/>
  <c r="I29" i="23"/>
  <c r="I28" i="23"/>
  <c r="I27" i="23"/>
  <c r="I26" i="23"/>
  <c r="I25" i="23"/>
  <c r="I24" i="23"/>
  <c r="I23" i="23"/>
  <c r="I22" i="23"/>
  <c r="I21" i="23"/>
  <c r="I20" i="23"/>
  <c r="I19" i="23"/>
  <c r="I18" i="23"/>
  <c r="I17" i="23"/>
  <c r="I16" i="23"/>
  <c r="I15" i="23"/>
  <c r="I14" i="23"/>
  <c r="I13" i="23"/>
  <c r="I12" i="23"/>
  <c r="I11" i="23"/>
  <c r="I10" i="23"/>
  <c r="I9" i="23"/>
  <c r="I8" i="23"/>
  <c r="I7" i="23"/>
  <c r="I6" i="23"/>
  <c r="I5" i="23"/>
  <c r="I4" i="23"/>
  <c r="I3" i="23"/>
  <c r="I2" i="23"/>
  <c r="L14" i="24" l="1"/>
  <c r="M14" i="24" s="1"/>
  <c r="C11" i="5"/>
  <c r="J11" i="5" s="1"/>
  <c r="C10" i="5"/>
  <c r="J10" i="5" s="1"/>
  <c r="L14" i="23"/>
  <c r="M14" i="23" s="1"/>
  <c r="H12" i="5"/>
  <c r="J12" i="5" s="1"/>
  <c r="L14" i="25"/>
  <c r="I33" i="25"/>
  <c r="I33" i="24"/>
  <c r="L16" i="24"/>
  <c r="I33" i="23"/>
  <c r="G29" i="22"/>
  <c r="L16" i="23" l="1"/>
  <c r="M16" i="23" s="1"/>
  <c r="L11" i="5"/>
  <c r="M11" i="5" s="1"/>
  <c r="M16" i="24"/>
  <c r="L16" i="25"/>
  <c r="M16" i="25" s="1"/>
  <c r="M14" i="25"/>
  <c r="L10" i="5"/>
  <c r="M10" i="5" s="1"/>
  <c r="F27" i="22"/>
  <c r="L12" i="5" l="1"/>
  <c r="M12" i="5" s="1"/>
  <c r="G14" i="22"/>
  <c r="B11" i="22" l="1"/>
  <c r="H33" i="22" l="1"/>
  <c r="G33" i="22"/>
  <c r="H9" i="5" s="1"/>
  <c r="F33" i="22"/>
  <c r="G9" i="5" s="1"/>
  <c r="E33" i="22"/>
  <c r="F9" i="5" s="1"/>
  <c r="D33" i="22"/>
  <c r="E9" i="5" s="1"/>
  <c r="C33" i="22"/>
  <c r="D9" i="5" s="1"/>
  <c r="B33" i="22"/>
  <c r="I32" i="22"/>
  <c r="I31" i="22"/>
  <c r="I30" i="22"/>
  <c r="I29" i="22"/>
  <c r="I28" i="22"/>
  <c r="I27" i="22"/>
  <c r="I26" i="22"/>
  <c r="I25" i="22"/>
  <c r="I24" i="22"/>
  <c r="I23" i="22"/>
  <c r="I22" i="22"/>
  <c r="I21" i="22"/>
  <c r="I20" i="22"/>
  <c r="I19" i="22"/>
  <c r="I18" i="22"/>
  <c r="I17" i="22"/>
  <c r="I16" i="22"/>
  <c r="I15" i="22"/>
  <c r="I14" i="22"/>
  <c r="I13" i="22"/>
  <c r="I12" i="22"/>
  <c r="I11" i="22"/>
  <c r="I10" i="22"/>
  <c r="I9" i="22"/>
  <c r="I8" i="22"/>
  <c r="I7" i="22"/>
  <c r="I6" i="22"/>
  <c r="I5" i="22"/>
  <c r="I4" i="22"/>
  <c r="I3" i="22"/>
  <c r="I2" i="22"/>
  <c r="B24" i="21"/>
  <c r="L13" i="21"/>
  <c r="K8" i="5" s="1"/>
  <c r="L14" i="22" l="1"/>
  <c r="M14" i="22" s="1"/>
  <c r="C9" i="5"/>
  <c r="I33" i="22"/>
  <c r="L16" i="22"/>
  <c r="L13" i="20"/>
  <c r="L9" i="5" l="1"/>
  <c r="M9" i="5" s="1"/>
  <c r="M16" i="22"/>
  <c r="K7" i="5"/>
  <c r="K6" i="5"/>
  <c r="J9" i="5"/>
  <c r="H33" i="21"/>
  <c r="G33" i="21"/>
  <c r="H8" i="5" s="1"/>
  <c r="F33" i="21"/>
  <c r="G8" i="5" s="1"/>
  <c r="E33" i="21"/>
  <c r="F8" i="5" s="1"/>
  <c r="D33" i="21"/>
  <c r="E8" i="5" s="1"/>
  <c r="C33" i="21"/>
  <c r="D8" i="5" s="1"/>
  <c r="B33" i="21"/>
  <c r="I32" i="21"/>
  <c r="I31" i="21"/>
  <c r="I30" i="21"/>
  <c r="I29" i="21"/>
  <c r="I28" i="21"/>
  <c r="I27" i="21"/>
  <c r="I26" i="21"/>
  <c r="I25" i="21"/>
  <c r="I24" i="21"/>
  <c r="I23" i="21"/>
  <c r="I22" i="21"/>
  <c r="I21" i="21"/>
  <c r="I20" i="21"/>
  <c r="I19" i="21"/>
  <c r="I18" i="21"/>
  <c r="I17" i="21"/>
  <c r="I16" i="21"/>
  <c r="I15" i="21"/>
  <c r="I14" i="21"/>
  <c r="I13" i="21"/>
  <c r="I12" i="21"/>
  <c r="I11" i="21"/>
  <c r="I10" i="21"/>
  <c r="I9" i="21"/>
  <c r="I8" i="21"/>
  <c r="I7" i="21"/>
  <c r="I6" i="21"/>
  <c r="I5" i="21"/>
  <c r="I4" i="21"/>
  <c r="I3" i="21"/>
  <c r="I2" i="21"/>
  <c r="L14" i="21" l="1"/>
  <c r="M14" i="21" s="1"/>
  <c r="C8" i="5"/>
  <c r="J8" i="5"/>
  <c r="L16" i="21"/>
  <c r="I33" i="21"/>
  <c r="C19" i="20"/>
  <c r="L8" i="5" l="1"/>
  <c r="M8" i="5" s="1"/>
  <c r="M16" i="21"/>
  <c r="H33" i="20"/>
  <c r="G33" i="20"/>
  <c r="H7" i="5" s="1"/>
  <c r="F33" i="20"/>
  <c r="G7" i="5" s="1"/>
  <c r="E33" i="20"/>
  <c r="F7" i="5" s="1"/>
  <c r="D33" i="20"/>
  <c r="E7" i="5" s="1"/>
  <c r="C33" i="20"/>
  <c r="D7" i="5" s="1"/>
  <c r="B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L14" i="20" l="1"/>
  <c r="M14" i="20" s="1"/>
  <c r="C7" i="5"/>
  <c r="J7" i="5" s="1"/>
  <c r="I33" i="20"/>
  <c r="G16" i="19"/>
  <c r="B16" i="19" s="1"/>
  <c r="L16" i="20" l="1"/>
  <c r="C12" i="19"/>
  <c r="L7" i="5" l="1"/>
  <c r="M7" i="5" s="1"/>
  <c r="M16" i="20"/>
  <c r="C10" i="19"/>
  <c r="C7" i="19" l="1"/>
  <c r="H33" i="19" l="1"/>
  <c r="G33" i="19"/>
  <c r="H6" i="5" s="1"/>
  <c r="F33" i="19"/>
  <c r="G6" i="5" s="1"/>
  <c r="E33" i="19"/>
  <c r="F6" i="5" s="1"/>
  <c r="D33" i="19"/>
  <c r="E6" i="5" s="1"/>
  <c r="C33" i="19"/>
  <c r="D6" i="5" s="1"/>
  <c r="B33" i="19"/>
  <c r="I32" i="19"/>
  <c r="I31" i="19"/>
  <c r="I30" i="19"/>
  <c r="I29" i="19"/>
  <c r="I28" i="19"/>
  <c r="I27" i="19"/>
  <c r="I26" i="19"/>
  <c r="I25" i="19"/>
  <c r="I24" i="19"/>
  <c r="I23" i="19"/>
  <c r="I22" i="19"/>
  <c r="I21" i="19"/>
  <c r="I20" i="19"/>
  <c r="I19" i="19"/>
  <c r="I18" i="19"/>
  <c r="I17" i="19"/>
  <c r="I16" i="19"/>
  <c r="I15" i="19"/>
  <c r="I14" i="19"/>
  <c r="I13" i="19"/>
  <c r="I12" i="19"/>
  <c r="I11" i="19"/>
  <c r="I10" i="19"/>
  <c r="I9" i="19"/>
  <c r="I8" i="19"/>
  <c r="I7" i="19"/>
  <c r="I6" i="19"/>
  <c r="I5" i="19"/>
  <c r="I4" i="19"/>
  <c r="I3" i="19"/>
  <c r="I2" i="19"/>
  <c r="C6" i="5" l="1"/>
  <c r="L14" i="19"/>
  <c r="M14" i="19" s="1"/>
  <c r="J6" i="5"/>
  <c r="I33" i="19"/>
  <c r="L16" i="19"/>
  <c r="F26" i="18"/>
  <c r="L6" i="5" l="1"/>
  <c r="M6" i="5" s="1"/>
  <c r="M16" i="19"/>
  <c r="K5" i="5"/>
  <c r="K4" i="5"/>
  <c r="C22" i="18"/>
  <c r="C21" i="18" l="1"/>
  <c r="C20" i="18" l="1"/>
  <c r="G19" i="18"/>
  <c r="F16" i="18" l="1"/>
  <c r="F13" i="18" l="1"/>
  <c r="E10" i="18" l="1"/>
  <c r="F9" i="18"/>
  <c r="G7" i="18" l="1"/>
  <c r="C7" i="18"/>
  <c r="C6" i="18"/>
  <c r="C5" i="18"/>
  <c r="C4" i="18" l="1"/>
  <c r="C33" i="18" s="1"/>
  <c r="D5" i="5" s="1"/>
  <c r="H33" i="18"/>
  <c r="G33" i="18"/>
  <c r="H5" i="5" s="1"/>
  <c r="F33" i="18"/>
  <c r="G5" i="5" s="1"/>
  <c r="E33" i="18"/>
  <c r="F5" i="5" s="1"/>
  <c r="D33" i="18"/>
  <c r="E5" i="5" s="1"/>
  <c r="B33" i="18"/>
  <c r="I32" i="18"/>
  <c r="I31" i="18"/>
  <c r="I30" i="18"/>
  <c r="I29" i="18"/>
  <c r="I28" i="18"/>
  <c r="I27" i="18"/>
  <c r="I26" i="18"/>
  <c r="I25" i="18"/>
  <c r="I24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3" i="18"/>
  <c r="I2" i="18"/>
  <c r="L14" i="18" l="1"/>
  <c r="M14" i="18" s="1"/>
  <c r="C5" i="5"/>
  <c r="J5" i="5"/>
  <c r="I4" i="18"/>
  <c r="I33" i="18"/>
  <c r="L16" i="18"/>
  <c r="B28" i="17"/>
  <c r="G28" i="17"/>
  <c r="C28" i="17"/>
  <c r="L5" i="5" l="1"/>
  <c r="M5" i="5" s="1"/>
  <c r="M16" i="18"/>
  <c r="F26" i="17"/>
  <c r="F25" i="17"/>
  <c r="G22" i="17"/>
  <c r="C21" i="17" l="1"/>
  <c r="C18" i="17" l="1"/>
  <c r="C17" i="17" l="1"/>
  <c r="C16" i="17"/>
  <c r="G12" i="17" l="1"/>
  <c r="B12" i="17" s="1"/>
  <c r="G9" i="17" l="1"/>
  <c r="F5" i="17" l="1"/>
  <c r="H33" i="17"/>
  <c r="G33" i="17"/>
  <c r="H4" i="5" s="1"/>
  <c r="F33" i="17"/>
  <c r="G4" i="5" s="1"/>
  <c r="E33" i="17"/>
  <c r="F4" i="5" s="1"/>
  <c r="D33" i="17"/>
  <c r="E4" i="5" s="1"/>
  <c r="C33" i="17"/>
  <c r="D4" i="5" s="1"/>
  <c r="B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  <c r="L14" i="17" l="1"/>
  <c r="M14" i="17" s="1"/>
  <c r="C4" i="5"/>
  <c r="J4" i="5" s="1"/>
  <c r="J16" i="5" s="1"/>
  <c r="Q4" i="5" s="1"/>
  <c r="I33" i="17"/>
  <c r="L16" i="17"/>
  <c r="L4" i="5" l="1"/>
  <c r="M4" i="5" s="1"/>
  <c r="M16" i="17"/>
  <c r="I16" i="5"/>
  <c r="D16" i="5" l="1"/>
  <c r="K16" i="5" l="1"/>
  <c r="Q3" i="5" l="1"/>
  <c r="I17" i="5"/>
  <c r="F16" i="5"/>
  <c r="H16" i="5"/>
  <c r="G16" i="5"/>
  <c r="E16" i="5"/>
  <c r="C16" i="5" l="1"/>
  <c r="L16" i="5"/>
  <c r="M16" i="5" s="1"/>
  <c r="Q5" i="5" l="1"/>
</calcChain>
</file>

<file path=xl/sharedStrings.xml><?xml version="1.0" encoding="utf-8"?>
<sst xmlns="http://schemas.openxmlformats.org/spreadsheetml/2006/main" count="295" uniqueCount="103">
  <si>
    <t>Dia</t>
  </si>
  <si>
    <t>Combustivel</t>
  </si>
  <si>
    <t>Saídas</t>
  </si>
  <si>
    <t>Total</t>
  </si>
  <si>
    <t>Outros</t>
  </si>
  <si>
    <t>Especificar Outros</t>
  </si>
  <si>
    <t>Rendimentos:</t>
  </si>
  <si>
    <t>Despesas:</t>
  </si>
  <si>
    <t>Saldo:</t>
  </si>
  <si>
    <t>Viagens</t>
  </si>
  <si>
    <t>Total: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</si>
  <si>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</si>
  <si>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</si>
  <si>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</si>
  <si>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</si>
  <si>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</si>
  <si>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</si>
  <si>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</si>
  <si>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</si>
  <si>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</si>
  <si>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</si>
  <si>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</si>
  <si>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</si>
  <si>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Renda</t>
  </si>
  <si>
    <t>Lucro</t>
  </si>
  <si>
    <t>Alimentação Casa</t>
  </si>
  <si>
    <t>Alimentação Fora</t>
  </si>
  <si>
    <t>ALGT</t>
  </si>
  <si>
    <t>futsal+lampadas</t>
  </si>
  <si>
    <t>joelheira</t>
  </si>
  <si>
    <t>higiene</t>
  </si>
  <si>
    <t>ventilador</t>
  </si>
  <si>
    <t>camisa</t>
  </si>
  <si>
    <t>dentista</t>
  </si>
  <si>
    <t>consulta+farmacia</t>
  </si>
  <si>
    <t>eco</t>
  </si>
  <si>
    <t>eco+higien</t>
  </si>
  <si>
    <t>consulta</t>
  </si>
  <si>
    <t>dermo+famacia</t>
  </si>
  <si>
    <t>consulta+sacoor</t>
  </si>
  <si>
    <t>seguro carro</t>
  </si>
  <si>
    <t>Rend</t>
  </si>
  <si>
    <t>G12</t>
  </si>
  <si>
    <t>analises</t>
  </si>
  <si>
    <t>tac</t>
  </si>
  <si>
    <t>futsal</t>
  </si>
  <si>
    <t>jg ps4</t>
  </si>
  <si>
    <t>prozis</t>
  </si>
  <si>
    <t>tekken ps4</t>
  </si>
  <si>
    <t>pai</t>
  </si>
  <si>
    <t>pc</t>
  </si>
  <si>
    <t>lidl</t>
  </si>
  <si>
    <t>windows</t>
  </si>
  <si>
    <t>vinho + francesinha</t>
  </si>
  <si>
    <t>continente</t>
  </si>
  <si>
    <t>seg.social mae</t>
  </si>
  <si>
    <t>varios dias</t>
  </si>
  <si>
    <t>ordenado</t>
  </si>
  <si>
    <t>segsocial mae</t>
  </si>
  <si>
    <t>teleconsulta</t>
  </si>
  <si>
    <t>francesinha</t>
  </si>
  <si>
    <t>piscina</t>
  </si>
  <si>
    <t>extensor ethernet</t>
  </si>
  <si>
    <t>capas ebay+ the witcher</t>
  </si>
  <si>
    <t>cartao jovem+jogo steam+bilhete comboio</t>
  </si>
  <si>
    <t>iphone</t>
  </si>
  <si>
    <t>oculos</t>
  </si>
  <si>
    <t>PC 2</t>
  </si>
  <si>
    <t>uber eats- bk</t>
  </si>
  <si>
    <t>mexicano</t>
  </si>
  <si>
    <t>cerveja</t>
  </si>
  <si>
    <t>casaco e c3</t>
  </si>
  <si>
    <t>guimaraes</t>
  </si>
  <si>
    <t>casaco</t>
  </si>
  <si>
    <t>dunas</t>
  </si>
  <si>
    <t>c3</t>
  </si>
  <si>
    <t>finfas</t>
  </si>
  <si>
    <t>nazare(rosa+marisco)</t>
  </si>
  <si>
    <t>cascata e fragas</t>
  </si>
  <si>
    <t>Oliveiras</t>
  </si>
  <si>
    <t>vida boa+palheiro</t>
  </si>
  <si>
    <t>boteco</t>
  </si>
  <si>
    <t>joka</t>
  </si>
  <si>
    <t>poços</t>
  </si>
  <si>
    <t>posta</t>
  </si>
  <si>
    <t>perfume</t>
  </si>
  <si>
    <t>ramen</t>
  </si>
  <si>
    <t>degema e t. do lebre</t>
  </si>
  <si>
    <t>tapas</t>
  </si>
  <si>
    <t>m.barbear</t>
  </si>
  <si>
    <t>fao</t>
  </si>
  <si>
    <t>tab</t>
  </si>
  <si>
    <t>filipa</t>
  </si>
  <si>
    <t>37.5</t>
  </si>
  <si>
    <t>kart+faisao</t>
  </si>
  <si>
    <t>Renda+ALGT</t>
  </si>
  <si>
    <t>olheiras+tabaco</t>
  </si>
  <si>
    <t>inspecção</t>
  </si>
  <si>
    <t>dent</t>
  </si>
  <si>
    <t>peliculas+carregador</t>
  </si>
  <si>
    <t>compras natal</t>
  </si>
  <si>
    <t>psn plus</t>
  </si>
  <si>
    <t>psplus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</si>
</sst>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u/>
      <sz val="12"/>
      <color theme="1"/>
      <name val="Arial"/>
      <family val="2"/>
    </font>
    <font>
      <u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2" xfId="0" applyFont="1" applyFill="1" applyBorder="1" applyAlignment="1">
      <alignment horizontal="right"/>
    </xf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0" fontId="3" fillId="2" borderId="8" xfId="0" applyFont="1" applyFill="1" applyBorder="1" applyAlignment="1">
      <alignment horizontal="right"/>
    </xf>
    <xf numFmtId="0" fontId="3" fillId="2" borderId="10" xfId="0" applyFont="1" applyFill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2" fillId="5" borderId="1" xfId="0" applyFont="1" applyFill="1" applyBorder="1" applyAlignment="1">
      <alignment horizontal="right"/>
    </xf>
    <xf numFmtId="0" fontId="2" fillId="6" borderId="3" xfId="0" applyFont="1" applyFill="1" applyBorder="1" applyAlignment="1">
      <alignment horizontal="right"/>
    </xf>
    <xf numFmtId="0" fontId="3" fillId="0" borderId="14" xfId="0" applyFont="1" applyBorder="1"/>
    <xf numFmtId="0" fontId="3" fillId="0" borderId="16" xfId="0" applyFont="1" applyBorder="1"/>
    <xf numFmtId="0" fontId="1" fillId="0" borderId="15" xfId="0" applyFont="1" applyBorder="1" applyAlignment="1">
      <alignment horizontal="right"/>
    </xf>
    <xf numFmtId="0" fontId="2" fillId="0" borderId="13" xfId="0" applyFont="1" applyBorder="1" applyAlignment="1">
      <alignment horizontal="right"/>
    </xf>
    <xf numFmtId="0" fontId="2" fillId="6" borderId="15" xfId="0" applyFont="1" applyFill="1" applyBorder="1" applyAlignment="1">
      <alignment horizontal="right"/>
    </xf>
    <xf numFmtId="0" fontId="3" fillId="7" borderId="14" xfId="0" applyFont="1" applyFill="1" applyBorder="1"/>
    <xf numFmtId="0" fontId="3" fillId="8" borderId="5" xfId="0" applyFont="1" applyFill="1" applyBorder="1" applyAlignment="1">
      <alignment horizontal="right"/>
    </xf>
    <xf numFmtId="0" fontId="3" fillId="8" borderId="4" xfId="0" applyFont="1" applyFill="1" applyBorder="1" applyAlignment="1">
      <alignment horizontal="right"/>
    </xf>
    <xf numFmtId="0" fontId="3" fillId="8" borderId="9" xfId="0" applyFont="1" applyFill="1" applyBorder="1" applyAlignment="1">
      <alignment horizontal="right"/>
    </xf>
    <xf numFmtId="0" fontId="3" fillId="9" borderId="16" xfId="0" applyFont="1" applyFill="1" applyBorder="1"/>
    <xf numFmtId="0" fontId="3" fillId="10" borderId="12" xfId="0" applyFont="1" applyFill="1" applyBorder="1"/>
    <xf numFmtId="0" fontId="2" fillId="11" borderId="1" xfId="0" applyFont="1" applyFill="1" applyBorder="1"/>
    <xf numFmtId="0" fontId="0" fillId="0" borderId="18" xfId="0" applyBorder="1"/>
    <xf numFmtId="0" fontId="2" fillId="11" borderId="17" xfId="0" applyFont="1" applyFill="1" applyBorder="1"/>
    <xf numFmtId="0" fontId="3" fillId="2" borderId="19" xfId="0" applyFont="1" applyFill="1" applyBorder="1" applyAlignment="1">
      <alignment horizontal="right"/>
    </xf>
    <xf numFmtId="0" fontId="3" fillId="2" borderId="20" xfId="0" applyFont="1" applyFill="1" applyBorder="1" applyAlignment="1">
      <alignment horizontal="right"/>
    </xf>
    <xf numFmtId="0" fontId="3" fillId="2" borderId="21" xfId="0" applyFont="1" applyFill="1" applyBorder="1" applyAlignment="1">
      <alignment horizontal="right"/>
    </xf>
    <xf numFmtId="0" fontId="0" fillId="5" borderId="2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0" fontId="2" fillId="3" borderId="22" xfId="0" applyFont="1" applyFill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0" fontId="2" fillId="3" borderId="17" xfId="0" applyFont="1" applyFill="1" applyBorder="1" applyAlignment="1">
      <alignment horizontal="right"/>
    </xf>
    <xf numFmtId="0" fontId="0" fillId="5" borderId="1" xfId="0" applyFill="1" applyBorder="1"/>
    <xf numFmtId="0" fontId="3" fillId="12" borderId="6" xfId="0" applyFont="1" applyFill="1" applyBorder="1"/>
    <xf numFmtId="0" fontId="2" fillId="3" borderId="1" xfId="0" applyFont="1" applyFill="1" applyBorder="1"/>
    <xf numFmtId="0" fontId="0" fillId="0" borderId="24" xfId="0" applyBorder="1"/>
    <xf numFmtId="0" fontId="0" fillId="0" borderId="2" xfId="0" applyBorder="1"/>
    <xf numFmtId="0" fontId="0" fillId="0" borderId="8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4" fillId="4" borderId="30" xfId="0" applyFont="1" applyFill="1" applyBorder="1"/>
    <xf numFmtId="0" fontId="2" fillId="3" borderId="23" xfId="0" applyFont="1" applyFill="1" applyBorder="1" applyAlignment="1">
      <alignment horizontal="right"/>
    </xf>
    <xf numFmtId="0" fontId="4" fillId="4" borderId="31" xfId="0" applyFont="1" applyFill="1" applyBorder="1"/>
    <xf numFmtId="0" fontId="4" fillId="4" borderId="32" xfId="0" applyFont="1" applyFill="1" applyBorder="1"/>
    <xf numFmtId="0" fontId="0" fillId="0" borderId="4" xfId="0" applyBorder="1"/>
    <xf numFmtId="0" fontId="0" fillId="0" borderId="5" xfId="0" applyBorder="1"/>
    <xf numFmtId="0" fontId="0" fillId="0" borderId="33" xfId="0" applyBorder="1"/>
    <xf numFmtId="0" fontId="0" fillId="0" borderId="14" xfId="0" applyBorder="1"/>
    <xf numFmtId="0" fontId="0" fillId="0" borderId="1" xfId="0" applyBorder="1"/>
    <xf numFmtId="0" fontId="0" fillId="0" borderId="30" xfId="0" applyBorder="1"/>
    <xf numFmtId="0" fontId="0" fillId="0" borderId="34" xfId="0" applyBorder="1"/>
    <xf numFmtId="0" fontId="0" fillId="0" borderId="17" xfId="0" applyBorder="1"/>
    <xf numFmtId="0" fontId="2" fillId="14" borderId="1" xfId="0" applyFont="1" applyFill="1" applyBorder="1" applyAlignment="1">
      <alignment horizontal="right"/>
    </xf>
    <xf numFmtId="0" fontId="3" fillId="13" borderId="5" xfId="0" applyFont="1" applyFill="1" applyBorder="1" applyAlignment="1">
      <alignment horizontal="right"/>
    </xf>
    <xf numFmtId="0" fontId="3" fillId="2" borderId="26" xfId="0" applyFont="1" applyFill="1" applyBorder="1" applyAlignment="1">
      <alignment horizontal="right"/>
    </xf>
    <xf numFmtId="0" fontId="0" fillId="0" borderId="31" xfId="0" applyBorder="1"/>
    <xf numFmtId="0" fontId="3" fillId="2" borderId="25" xfId="0" applyFont="1" applyFill="1" applyBorder="1" applyAlignment="1">
      <alignment horizontal="right"/>
    </xf>
    <xf numFmtId="0" fontId="0" fillId="0" borderId="35" xfId="0" applyBorder="1"/>
    <xf numFmtId="0" fontId="5" fillId="3" borderId="1" xfId="0" applyFont="1" applyFill="1" applyBorder="1" applyAlignment="1">
      <alignment horizontal="right"/>
    </xf>
    <xf numFmtId="0" fontId="6" fillId="2" borderId="8" xfId="0" applyFont="1" applyFill="1" applyBorder="1" applyAlignment="1">
      <alignment horizontal="right"/>
    </xf>
    <xf numFmtId="0" fontId="3" fillId="13" borderId="4" xfId="0" applyFont="1" applyFill="1" applyBorder="1" applyAlignment="1">
      <alignment horizontal="right"/>
    </xf>
    <xf numFmtId="0" fontId="3" fillId="15" borderId="5" xfId="0" applyFont="1" applyFill="1" applyBorder="1" applyAlignment="1">
      <alignment horizontal="right"/>
    </xf>
    <xf numFmtId="0" fontId="3" fillId="15" borderId="8" xfId="0" applyFont="1" applyFill="1" applyBorder="1" applyAlignment="1">
      <alignment horizontal="right"/>
    </xf>
    <xf numFmtId="0" fontId="3" fillId="15" borderId="2" xfId="0" applyFont="1" applyFill="1" applyBorder="1" applyAlignment="1">
      <alignment horizontal="right"/>
    </xf>
    <xf numFmtId="0" fontId="3" fillId="15" borderId="20" xfId="0" applyFont="1" applyFill="1" applyBorder="1" applyAlignment="1">
      <alignment horizontal="right"/>
    </xf>
    <xf numFmtId="0" fontId="3" fillId="15" borderId="9" xfId="0" applyFont="1" applyFill="1" applyBorder="1" applyAlignment="1">
      <alignment horizontal="right"/>
    </xf>
    <xf numFmtId="0" fontId="3" fillId="15" borderId="10" xfId="0" applyFont="1" applyFill="1" applyBorder="1" applyAlignment="1">
      <alignment horizontal="right"/>
    </xf>
    <xf numFmtId="0" fontId="3" fillId="15" borderId="11" xfId="0" applyFont="1" applyFill="1" applyBorder="1" applyAlignment="1">
      <alignment horizontal="right"/>
    </xf>
    <xf numFmtId="0" fontId="3" fillId="15" borderId="21" xfId="0" applyFont="1" applyFill="1" applyBorder="1" applyAlignment="1">
      <alignment horizontal="right"/>
    </xf>
    <xf numFmtId="0" fontId="0" fillId="0" borderId="36" xfId="0" applyBorder="1"/>
    <xf numFmtId="0" fontId="0" fillId="0" borderId="26" xfId="0" applyBorder="1"/>
    <xf numFmtId="0" fontId="3" fillId="15" borderId="6" xfId="0" applyFont="1" applyFill="1" applyBorder="1"/>
    <xf numFmtId="0" fontId="3" fillId="13" borderId="9" xfId="0" applyFont="1" applyFill="1" applyBorder="1" applyAlignment="1">
      <alignment horizontal="right"/>
    </xf>
    <xf numFmtId="0" fontId="2" fillId="16" borderId="3" xfId="0" applyFont="1" applyFill="1" applyBorder="1" applyAlignment="1">
      <alignment horizontal="right"/>
    </xf>
    <xf numFmtId="0" fontId="2" fillId="17" borderId="3" xfId="0" applyFont="1" applyFill="1" applyBorder="1" applyAlignment="1">
      <alignment horizontal="right"/>
    </xf>
    <xf numFmtId="0" fontId="0" fillId="0" borderId="11" xfId="0" applyBorder="1"/>
    <xf numFmtId="9" fontId="0" fillId="0" borderId="0" xfId="1" applyFont="1"/>
    <xf numFmtId="0" fontId="3" fillId="0" borderId="0" xfId="0" applyFont="1" applyBorder="1"/>
    <xf numFmtId="0" fontId="0" fillId="0" borderId="0" xfId="0" applyBorder="1"/>
    <xf numFmtId="0" fontId="0" fillId="0" borderId="13" xfId="0" applyBorder="1"/>
    <xf numFmtId="0" fontId="2" fillId="6" borderId="38" xfId="0" applyFont="1" applyFill="1" applyBorder="1" applyAlignment="1">
      <alignment horizontal="right"/>
    </xf>
    <xf numFmtId="0" fontId="2" fillId="6" borderId="39" xfId="0" applyFont="1" applyFill="1" applyBorder="1" applyAlignment="1">
      <alignment horizontal="right"/>
    </xf>
    <xf numFmtId="0" fontId="2" fillId="0" borderId="40" xfId="0" applyFont="1" applyBorder="1" applyAlignment="1">
      <alignment horizontal="right"/>
    </xf>
    <xf numFmtId="0" fontId="3" fillId="9" borderId="41" xfId="0" applyFont="1" applyFill="1" applyBorder="1"/>
    <xf numFmtId="0" fontId="3" fillId="0" borderId="35" xfId="0" applyFont="1" applyBorder="1"/>
    <xf numFmtId="0" fontId="8" fillId="0" borderId="42" xfId="0" applyFont="1" applyBorder="1"/>
    <xf numFmtId="10" fontId="8" fillId="9" borderId="4" xfId="1" applyNumberFormat="1" applyFont="1" applyFill="1" applyBorder="1"/>
    <xf numFmtId="10" fontId="8" fillId="10" borderId="37" xfId="0" applyNumberFormat="1" applyFont="1" applyFill="1" applyBorder="1"/>
    <xf numFmtId="0" fontId="3" fillId="0" borderId="43" xfId="0" applyFont="1" applyBorder="1"/>
    <xf numFmtId="0" fontId="2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2" fillId="6" borderId="16" xfId="0" applyFont="1" applyFill="1" applyBorder="1" applyAlignment="1">
      <alignment horizontal="right"/>
    </xf>
    <xf numFmtId="0" fontId="3" fillId="0" borderId="44" xfId="0" applyFont="1" applyBorder="1"/>
    <xf numFmtId="0" fontId="3" fillId="7" borderId="13" xfId="0" applyFont="1" applyFill="1" applyBorder="1"/>
    <xf numFmtId="0" fontId="0" fillId="0" borderId="0" xfId="0" applyFill="1"/>
    <xf numFmtId="0" fontId="2" fillId="6" borderId="12" xfId="0" applyFont="1" applyFill="1" applyBorder="1" applyAlignment="1">
      <alignment horizontal="right"/>
    </xf>
    <xf numFmtId="0" fontId="6" fillId="0" borderId="0" xfId="0" applyFont="1" applyFill="1" applyBorder="1"/>
    <xf numFmtId="10" fontId="0" fillId="0" borderId="33" xfId="1" applyNumberFormat="1" applyFont="1" applyBorder="1"/>
    <xf numFmtId="0" fontId="0" fillId="0" borderId="45" xfId="0" applyBorder="1"/>
    <xf numFmtId="10" fontId="0" fillId="0" borderId="0" xfId="0" applyNumberFormat="1"/>
  </cellXfs>
  <cellStyles count="2">
    <cellStyle name="Normal" xfId="0" builtinId="0"/>
    <cellStyle name="Percent" xfId="1" builtinId="5"/>
  </cellStyles>
  <dxfs count="2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% sobre Despesas TOTAL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B15-4D92-A1DB-0B895095DBE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B15-4D92-A1DB-0B895095DBE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B15-4D92-A1DB-0B895095DBE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B15-4D92-A1DB-0B895095DBE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B15-4D92-A1DB-0B895095DBE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EB15-4D92-A1DB-0B895095DBE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B15-4D92-A1DB-0B895095DBE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1-EB15-4D92-A1DB-0B895095DBE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EB15-4D92-A1DB-0B895095DBE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EB15-4D92-A1DB-0B895095DBE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EB15-4D92-A1DB-0B895095DBE8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EB15-4D92-A1DB-0B895095DBE8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EB15-4D92-A1DB-0B895095DBE8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PT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EB15-4D92-A1DB-0B895095DBE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Saldo!$C$3:$I$3</c:f>
              <c:strCache>
                <c:ptCount val="7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Renda+ALGT</c:v>
                </c:pt>
              </c:strCache>
            </c:strRef>
          </c:cat>
          <c:val>
            <c:numRef>
              <c:f>Saldo!$C$16:$I$16</c:f>
              <c:numCache>
                <c:formatCode>General</c:formatCode>
                <c:ptCount val="7"/>
                <c:pt idx="0">
                  <c:v>864.73</c:v>
                </c:pt>
                <c:pt idx="1">
                  <c:v>926.71000000000015</c:v>
                </c:pt>
                <c:pt idx="2">
                  <c:v>490</c:v>
                </c:pt>
                <c:pt idx="3">
                  <c:v>390.55</c:v>
                </c:pt>
                <c:pt idx="4">
                  <c:v>406.59999999999997</c:v>
                </c:pt>
                <c:pt idx="5">
                  <c:v>2610.8700000000003</c:v>
                </c:pt>
                <c:pt idx="6">
                  <c:v>3410.5099999999998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B15-4D92-A1DB-0B895095DBE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0E-416A-8CCA-D64E9661F6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0E-416A-8CCA-D64E9661F6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0E-416A-8CCA-D64E9661F6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C0E-416A-8CCA-D64E9661F64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C0E-416A-8CCA-D64E9661F64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C0E-416A-8CCA-D64E9661F64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C0E-416A-8CCA-D64E9661F64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C0E-416A-8CCA-D64E9661F64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(Janeiro!$B$33:$G$33,Janeiro!$K$2:$L$2)</c:f>
              <c:numCache>
                <c:formatCode>General</c:formatCode>
                <c:ptCount val="8"/>
                <c:pt idx="0">
                  <c:v>75.389999999999986</c:v>
                </c:pt>
                <c:pt idx="1">
                  <c:v>154.65</c:v>
                </c:pt>
                <c:pt idx="2">
                  <c:v>70</c:v>
                </c:pt>
                <c:pt idx="3">
                  <c:v>10</c:v>
                </c:pt>
                <c:pt idx="4">
                  <c:v>58</c:v>
                </c:pt>
                <c:pt idx="5">
                  <c:v>207.32999999999998</c:v>
                </c:pt>
                <c:pt idx="6">
                  <c:v>217</c:v>
                </c:pt>
                <c:pt idx="7">
                  <c:v>40.700000000000003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C0E-416A-8CCA-D64E9661F64E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3EE-44D9-9FC4-6B5566E891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3EE-44D9-9FC4-6B5566E891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3EE-44D9-9FC4-6B5566E891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3EE-44D9-9FC4-6B5566E891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3EE-44D9-9FC4-6B5566E891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3EE-44D9-9FC4-6B5566E891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3EE-44D9-9FC4-6B5566E891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3EE-44D9-9FC4-6B5566E8911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(Fevereiro!$B$33:$G$33,Fevereiro!$K$2:$L$2)</c:f>
              <c:numCache>
                <c:formatCode>General</c:formatCode>
                <c:ptCount val="8"/>
                <c:pt idx="0">
                  <c:v>107.24000000000001</c:v>
                </c:pt>
                <c:pt idx="1">
                  <c:v>56.20000000000001</c:v>
                </c:pt>
                <c:pt idx="2">
                  <c:v>30</c:v>
                </c:pt>
                <c:pt idx="3">
                  <c:v>39.75</c:v>
                </c:pt>
                <c:pt idx="4">
                  <c:v>126.2</c:v>
                </c:pt>
                <c:pt idx="5">
                  <c:v>429.81</c:v>
                </c:pt>
                <c:pt idx="6">
                  <c:v>217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3EE-44D9-9FC4-6B5566E8911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696-4B03-8BF7-EFF90A9913D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696-4B03-8BF7-EFF90A9913D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696-4B03-8BF7-EFF90A9913D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96-4B03-8BF7-EFF90A9913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96-4B03-8BF7-EFF90A9913D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696-4B03-8BF7-EFF90A9913D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696-4B03-8BF7-EFF90A9913D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696-4B03-8BF7-EFF90A9913D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(Março!$B$33:$G$33,Março!$K$2:$L$2)</c:f>
              <c:numCache>
                <c:formatCode>General</c:formatCode>
                <c:ptCount val="8"/>
                <c:pt idx="0">
                  <c:v>147.58000000000001</c:v>
                </c:pt>
                <c:pt idx="1">
                  <c:v>15.849999999999998</c:v>
                </c:pt>
                <c:pt idx="2">
                  <c:v>50</c:v>
                </c:pt>
                <c:pt idx="3">
                  <c:v>20</c:v>
                </c:pt>
                <c:pt idx="4">
                  <c:v>2</c:v>
                </c:pt>
                <c:pt idx="5">
                  <c:v>199.81</c:v>
                </c:pt>
                <c:pt idx="6">
                  <c:v>217</c:v>
                </c:pt>
                <c:pt idx="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696-4B03-8BF7-EFF90A9913D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A98-434F-88A7-024298A89B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A98-434F-88A7-024298A89B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A98-434F-88A7-024298A89B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A98-434F-88A7-024298A89B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A98-434F-88A7-024298A89B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A98-434F-88A7-024298A89B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A98-434F-88A7-024298A89B5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A98-434F-88A7-024298A89B5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(Abril!$B$33:$G$33,Abril!$K$2:$L$2)</c:f>
              <c:numCache>
                <c:formatCode>General</c:formatCode>
                <c:ptCount val="8"/>
                <c:pt idx="0">
                  <c:v>87.5</c:v>
                </c:pt>
                <c:pt idx="1">
                  <c:v>22.9</c:v>
                </c:pt>
                <c:pt idx="2">
                  <c:v>30</c:v>
                </c:pt>
                <c:pt idx="3">
                  <c:v>10</c:v>
                </c:pt>
                <c:pt idx="4">
                  <c:v>0</c:v>
                </c:pt>
                <c:pt idx="5">
                  <c:v>53</c:v>
                </c:pt>
                <c:pt idx="6">
                  <c:v>217</c:v>
                </c:pt>
                <c:pt idx="7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A98-434F-88A7-024298A89B5A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161-4ED4-B964-951AB2807F5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161-4ED4-B964-951AB2807F5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161-4ED4-B964-951AB2807F5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161-4ED4-B964-951AB2807F5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161-4ED4-B964-951AB2807F5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161-4ED4-B964-951AB2807F5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161-4ED4-B964-951AB2807F5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161-4ED4-B964-951AB2807F57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(Maio!$B$33:$G$33,Maio!$K$2:$L$2)</c:f>
              <c:numCache>
                <c:formatCode>General</c:formatCode>
                <c:ptCount val="8"/>
                <c:pt idx="0">
                  <c:v>45.900000000000006</c:v>
                </c:pt>
                <c:pt idx="1">
                  <c:v>21.6</c:v>
                </c:pt>
                <c:pt idx="2">
                  <c:v>50</c:v>
                </c:pt>
                <c:pt idx="3">
                  <c:v>20</c:v>
                </c:pt>
                <c:pt idx="4">
                  <c:v>23</c:v>
                </c:pt>
                <c:pt idx="5">
                  <c:v>782</c:v>
                </c:pt>
                <c:pt idx="6">
                  <c:v>217</c:v>
                </c:pt>
                <c:pt idx="7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161-4ED4-B964-951AB2807F5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F72-4146-B5F0-B8BA4EC9AA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F72-4146-B5F0-B8BA4EC9AA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F72-4146-B5F0-B8BA4EC9AA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F72-4146-B5F0-B8BA4EC9AA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F72-4146-B5F0-B8BA4EC9AA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F72-4146-B5F0-B8BA4EC9AA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F72-4146-B5F0-B8BA4EC9AA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F72-4146-B5F0-B8BA4EC9AAF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(Junho!$B$33:$G$33,Junho!$K$2:$L$2)</c:f>
              <c:numCache>
                <c:formatCode>General</c:formatCode>
                <c:ptCount val="8"/>
                <c:pt idx="0">
                  <c:v>103.92</c:v>
                </c:pt>
                <c:pt idx="1">
                  <c:v>13.849999999999998</c:v>
                </c:pt>
                <c:pt idx="2">
                  <c:v>70</c:v>
                </c:pt>
                <c:pt idx="3">
                  <c:v>30</c:v>
                </c:pt>
                <c:pt idx="4">
                  <c:v>43.7</c:v>
                </c:pt>
                <c:pt idx="5">
                  <c:v>72.89</c:v>
                </c:pt>
                <c:pt idx="6">
                  <c:v>217</c:v>
                </c:pt>
                <c:pt idx="7">
                  <c:v>39.5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F72-4146-B5F0-B8BA4EC9AAF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80-46A2-9BE2-D7EC1D715D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80-46A2-9BE2-D7EC1D715D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80-46A2-9BE2-D7EC1D715D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80-46A2-9BE2-D7EC1D715DA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580-46A2-9BE2-D7EC1D715D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580-46A2-9BE2-D7EC1D715D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580-46A2-9BE2-D7EC1D715DA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580-46A2-9BE2-D7EC1D715DAC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(Julho!$B$33:$G$33,Julho!$K$2:$L$2)</c:f>
              <c:numCache>
                <c:formatCode>General</c:formatCode>
                <c:ptCount val="8"/>
                <c:pt idx="0">
                  <c:v>68.84</c:v>
                </c:pt>
                <c:pt idx="1">
                  <c:v>117.75</c:v>
                </c:pt>
                <c:pt idx="2">
                  <c:v>30</c:v>
                </c:pt>
                <c:pt idx="3">
                  <c:v>23.7</c:v>
                </c:pt>
                <c:pt idx="4">
                  <c:v>7.9</c:v>
                </c:pt>
                <c:pt idx="5">
                  <c:v>158.4</c:v>
                </c:pt>
                <c:pt idx="6">
                  <c:v>250</c:v>
                </c:pt>
                <c:pt idx="7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580-46A2-9BE2-D7EC1D715DA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AF5-46A5-B7BB-3BDB0D5527E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AF5-46A5-B7BB-3BDB0D5527E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AF5-46A5-B7BB-3BDB0D5527E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AF5-46A5-B7BB-3BDB0D5527E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AF5-46A5-B7BB-3BDB0D5527E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CAF5-46A5-B7BB-3BDB0D5527E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CAF5-46A5-B7BB-3BDB0D5527E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CAF5-46A5-B7BB-3BDB0D5527E5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(Agosto!$B$33:$G$33,Agosto!$K$2:$L$2)</c:f>
              <c:numCache>
                <c:formatCode>General</c:formatCode>
                <c:ptCount val="8"/>
                <c:pt idx="0">
                  <c:v>75.900000000000006</c:v>
                </c:pt>
                <c:pt idx="1">
                  <c:v>213.68000000000004</c:v>
                </c:pt>
                <c:pt idx="2">
                  <c:v>70</c:v>
                </c:pt>
                <c:pt idx="3">
                  <c:v>34</c:v>
                </c:pt>
                <c:pt idx="4">
                  <c:v>26.099999999999998</c:v>
                </c:pt>
                <c:pt idx="5">
                  <c:v>0</c:v>
                </c:pt>
                <c:pt idx="6">
                  <c:v>250</c:v>
                </c:pt>
                <c:pt idx="7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AF5-46A5-B7BB-3BDB0D5527E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F67-4E84-A676-ED275136FA4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67-4E84-A676-ED275136FA4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67-4E84-A676-ED275136FA4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67-4E84-A676-ED275136FA4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67-4E84-A676-ED275136FA4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F67-4E84-A676-ED275136FA4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5F67-4E84-A676-ED275136FA4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5F67-4E84-A676-ED275136FA48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(Setembro!$B$1:$G$1,Setembro!$K$1:$L$1)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(Setembro!$B$33:$G$33,Setembro!$K$2:$L$2)</c:f>
              <c:numCache>
                <c:formatCode>General</c:formatCode>
                <c:ptCount val="8"/>
                <c:pt idx="0">
                  <c:v>51.5</c:v>
                </c:pt>
                <c:pt idx="1">
                  <c:v>128.80000000000001</c:v>
                </c:pt>
                <c:pt idx="2">
                  <c:v>40</c:v>
                </c:pt>
                <c:pt idx="3">
                  <c:v>109.65</c:v>
                </c:pt>
                <c:pt idx="4">
                  <c:v>20</c:v>
                </c:pt>
                <c:pt idx="5">
                  <c:v>155.94999999999999</c:v>
                </c:pt>
                <c:pt idx="6">
                  <c:v>250</c:v>
                </c:pt>
                <c:pt idx="7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F67-4E84-A676-ED275136FA4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5E-48BB-ADDF-1B02FBCF681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5E-48BB-ADDF-1B02FBCF681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35E-48BB-ADDF-1B02FBCF681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35E-48BB-ADDF-1B02FBCF681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35E-48BB-ADDF-1B02FBCF681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35E-48BB-ADDF-1B02FBCF681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35E-48BB-ADDF-1B02FBCF681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35E-48BB-ADDF-1B02FBCF681B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(Outubro!$B$1:$G$1,Outubro!$K$1:$L$1)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(Outubro!$B$33:$G$33,Outubro!$K$2:$L$2)</c:f>
              <c:numCache>
                <c:formatCode>General</c:formatCode>
                <c:ptCount val="8"/>
                <c:pt idx="0">
                  <c:v>32</c:v>
                </c:pt>
                <c:pt idx="1">
                  <c:v>108.53</c:v>
                </c:pt>
                <c:pt idx="2">
                  <c:v>0</c:v>
                </c:pt>
                <c:pt idx="3">
                  <c:v>26.75</c:v>
                </c:pt>
                <c:pt idx="4">
                  <c:v>25</c:v>
                </c:pt>
                <c:pt idx="5">
                  <c:v>217</c:v>
                </c:pt>
                <c:pt idx="6">
                  <c:v>250</c:v>
                </c:pt>
                <c:pt idx="7">
                  <c:v>79.209999999999994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35E-48BB-ADDF-1B02FBCF681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2EE-4B81-84B1-786D6132E2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2EE-4B81-84B1-786D6132E2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2EE-4B81-84B1-786D6132E2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2EE-4B81-84B1-786D6132E2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22EE-4B81-84B1-786D6132E2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2EE-4B81-84B1-786D6132E2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2EE-4B81-84B1-786D6132E2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2EE-4B81-84B1-786D6132E220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(Novembro!$B$1:$G$1,Novembro!$K$1:$L$1)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(Novembro!$B$33:$G$33,Novembro!$K$2:$L$2)</c:f>
              <c:numCache>
                <c:formatCode>General</c:formatCode>
                <c:ptCount val="8"/>
                <c:pt idx="0">
                  <c:v>47.12</c:v>
                </c:pt>
                <c:pt idx="1">
                  <c:v>5</c:v>
                </c:pt>
                <c:pt idx="2">
                  <c:v>30</c:v>
                </c:pt>
                <c:pt idx="3">
                  <c:v>44.7</c:v>
                </c:pt>
                <c:pt idx="4">
                  <c:v>6.5</c:v>
                </c:pt>
                <c:pt idx="5">
                  <c:v>113.13000000000001</c:v>
                </c:pt>
                <c:pt idx="6">
                  <c:v>250</c:v>
                </c:pt>
                <c:pt idx="7">
                  <c:v>85.5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2EE-4B81-84B1-786D6132E22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Despesas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488-487C-B454-3A8FE6394B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488-487C-B454-3A8FE6394B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488-487C-B454-3A8FE6394B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488-487C-B454-3A8FE6394B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488-487C-B454-3A8FE6394B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4488-487C-B454-3A8FE6394B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4488-487C-B454-3A8FE6394B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4488-487C-B454-3A8FE6394B5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(Dezembro!$B$1:$G$1,Dezembro!$K$1:$L$1)</c:f>
              <c:strCache>
                <c:ptCount val="8"/>
                <c:pt idx="0">
                  <c:v>Alimentação Casa</c:v>
                </c:pt>
                <c:pt idx="1">
                  <c:v>Alimentação Fora</c:v>
                </c:pt>
                <c:pt idx="2">
                  <c:v>Combustivel</c:v>
                </c:pt>
                <c:pt idx="3">
                  <c:v>Viagens</c:v>
                </c:pt>
                <c:pt idx="4">
                  <c:v>Saídas</c:v>
                </c:pt>
                <c:pt idx="5">
                  <c:v>Outros</c:v>
                </c:pt>
                <c:pt idx="6">
                  <c:v>Renda</c:v>
                </c:pt>
                <c:pt idx="7">
                  <c:v>ALGT</c:v>
                </c:pt>
              </c:strCache>
            </c:strRef>
          </c:cat>
          <c:val>
            <c:numRef>
              <c:f>(Dezembro!$B$33:$G$33,Dezembro!$K$2:$L$2)</c:f>
              <c:numCache>
                <c:formatCode>General</c:formatCode>
                <c:ptCount val="8"/>
                <c:pt idx="0">
                  <c:v>21.84</c:v>
                </c:pt>
                <c:pt idx="1">
                  <c:v>67.900000000000006</c:v>
                </c:pt>
                <c:pt idx="2">
                  <c:v>20</c:v>
                </c:pt>
                <c:pt idx="3">
                  <c:v>22</c:v>
                </c:pt>
                <c:pt idx="4">
                  <c:v>68.2</c:v>
                </c:pt>
                <c:pt idx="5">
                  <c:v>221.55</c:v>
                </c:pt>
                <c:pt idx="6">
                  <c:v>250</c:v>
                </c:pt>
                <c:pt idx="7">
                  <c:v>74.599999999999994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4488-487C-B454-3A8FE6394B5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902484845644294"/>
          <c:y val="0.13387353853495584"/>
          <c:w val="0.31686800868641418"/>
          <c:h val="0.78432577745963572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586740</xdr:colOff>
      <xdr:row>17</xdr:row>
      <xdr:rowOff>19050</xdr:rowOff>
    </xdr:from>
    <xdr:to>
      <xdr:col>7</xdr:col>
      <xdr:colOff>297180</xdr:colOff>
      <xdr:row>41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15240</xdr:colOff>
      <xdr:row>17</xdr:row>
      <xdr:rowOff>30480</xdr:rowOff>
    </xdr:from>
    <xdr:to>
      <xdr:col>16</xdr:col>
      <xdr:colOff>15240</xdr:colOff>
      <xdr:row>33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15240</xdr:rowOff>
    </xdr:from>
    <xdr:to>
      <xdr:col>16</xdr:col>
      <xdr:colOff>7620</xdr:colOff>
      <xdr:row>32</xdr:row>
      <xdr:rowOff>198120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0</xdr:rowOff>
    </xdr:from>
    <xdr:to>
      <xdr:col>16</xdr:col>
      <xdr:colOff>0</xdr:colOff>
      <xdr:row>32</xdr:row>
      <xdr:rowOff>182880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7620</xdr:rowOff>
    </xdr:from>
    <xdr:to>
      <xdr:col>16</xdr:col>
      <xdr:colOff>7620</xdr:colOff>
      <xdr:row>32</xdr:row>
      <xdr:rowOff>190500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15240</xdr:rowOff>
    </xdr:from>
    <xdr:to>
      <xdr:col>16</xdr:col>
      <xdr:colOff>7620</xdr:colOff>
      <xdr:row>32</xdr:row>
      <xdr:rowOff>198120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15240</xdr:rowOff>
    </xdr:from>
    <xdr:to>
      <xdr:col>16</xdr:col>
      <xdr:colOff>7620</xdr:colOff>
      <xdr:row>32</xdr:row>
      <xdr:rowOff>198120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15240</xdr:rowOff>
    </xdr:from>
    <xdr:to>
      <xdr:col>16</xdr:col>
      <xdr:colOff>7620</xdr:colOff>
      <xdr:row>32</xdr:row>
      <xdr:rowOff>198120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17</xdr:row>
      <xdr:rowOff>15240</xdr:rowOff>
    </xdr:from>
    <xdr:to>
      <xdr:col>16</xdr:col>
      <xdr:colOff>7620</xdr:colOff>
      <xdr:row>32</xdr:row>
      <xdr:rowOff>198120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S17"/>
  <sheetViews>
    <sheetView workbookViewId="0">
      <selection activeCell="I20" sqref="I20"/>
    </sheetView>
  </sheetViews>
  <sheetFormatPr defaultRowHeight="15" x14ac:dyDescent="0.25"/>
  <cols>
    <col min="2" max="2" width="14.85546875" bestFit="1" customWidth="1"/>
    <col min="3" max="3" width="21.140625" bestFit="1" customWidth="1"/>
    <col min="4" max="4" width="20.5703125" bestFit="1" customWidth="1"/>
    <col min="5" max="5" width="15.140625" bestFit="1" customWidth="1"/>
    <col min="6" max="6" width="10.140625" bestFit="1" customWidth="1"/>
    <col min="7" max="8" width="8.7109375" bestFit="1" customWidth="1"/>
    <col min="9" max="9" width="15.140625" bestFit="1" customWidth="1"/>
    <col min="12" max="13" width="7.7109375" customWidth="1"/>
    <col min="14" max="14" width="5.28515625" customWidth="1"/>
    <col min="15" max="15" width="5.42578125" customWidth="1"/>
    <col min="16" max="16" width="16.85546875" bestFit="1" customWidth="1"/>
    <col min="17" max="17" width="10.28515625" bestFit="1" customWidth="1"/>
  </cols>
  <sheetData>
    <row r="2" spans="2:19" ht="15.75" thickBot="1" x14ac:dyDescent="0.3"/>
    <row r="3" spans="2:19" ht="16.5" thickBot="1" x14ac:dyDescent="0.3">
      <c r="C3" s="31" t="s">
        <v>25</v>
      </c>
      <c r="D3" s="30" t="s">
        <v>26</v>
      </c>
      <c r="E3" s="44" t="s">
        <v>1</v>
      </c>
      <c r="F3" s="44" t="s">
        <v>9</v>
      </c>
      <c r="G3" s="44" t="s">
        <v>2</v>
      </c>
      <c r="H3" s="44" t="s">
        <v>4</v>
      </c>
      <c r="I3" s="44" t="s">
        <v>95</v>
      </c>
      <c r="J3" s="76" t="s">
        <v>3</v>
      </c>
      <c r="K3" s="77" t="s">
        <v>41</v>
      </c>
      <c r="L3" s="55" t="s">
        <v>24</v>
      </c>
      <c r="M3" s="55" t="s">
        <v>24</v>
      </c>
      <c r="P3" s="10" t="s">
        <v>6</v>
      </c>
      <c r="Q3" s="21">
        <f>K16</f>
        <v>14400.64</v>
      </c>
    </row>
    <row r="4" spans="2:19" ht="16.5" thickBot="1" x14ac:dyDescent="0.3">
      <c r="B4" s="43" t="s">
        <v>11</v>
      </c>
      <c r="C4" s="39">
        <f>Janeiro!B33</f>
        <v>75.389999999999986</v>
      </c>
      <c r="D4" s="73">
        <f>Janeiro!C33</f>
        <v>154.65</v>
      </c>
      <c r="E4" s="73">
        <f>Janeiro!D33</f>
        <v>70</v>
      </c>
      <c r="F4" s="73">
        <f>Janeiro!E33</f>
        <v>10</v>
      </c>
      <c r="G4" s="73">
        <f>Janeiro!F33</f>
        <v>58</v>
      </c>
      <c r="H4" s="72">
        <f>Janeiro!G33</f>
        <v>207.32999999999998</v>
      </c>
      <c r="I4" s="47">
        <f>SUM(Janeiro!K2:L2)</f>
        <v>257.7</v>
      </c>
      <c r="J4" s="47">
        <f>SUM($C4:$I4)</f>
        <v>833.06999999999994</v>
      </c>
      <c r="K4" s="52">
        <f>Janeiro!L13</f>
        <v>916.5</v>
      </c>
      <c r="L4" s="49">
        <f>Janeiro!L16</f>
        <v>83.430000000000064</v>
      </c>
      <c r="M4" s="100">
        <f>L4*100/K4/100</f>
        <v>9.1031096563011532E-2</v>
      </c>
      <c r="P4" s="15" t="s">
        <v>7</v>
      </c>
      <c r="Q4" s="20">
        <f>J16</f>
        <v>9099.9700000000012</v>
      </c>
    </row>
    <row r="5" spans="2:19" ht="16.5" thickBot="1" x14ac:dyDescent="0.3">
      <c r="B5" s="45" t="s">
        <v>12</v>
      </c>
      <c r="C5" s="40">
        <f>Fevereiro!B33</f>
        <v>107.24000000000001</v>
      </c>
      <c r="D5" s="37">
        <f>Fevereiro!C33</f>
        <v>56.20000000000001</v>
      </c>
      <c r="E5" s="37">
        <f>Fevereiro!D33</f>
        <v>30</v>
      </c>
      <c r="F5" s="37">
        <f>Fevereiro!E33</f>
        <v>39.75</v>
      </c>
      <c r="G5" s="37">
        <f>Fevereiro!F33</f>
        <v>126.2</v>
      </c>
      <c r="H5" s="38">
        <f>Fevereiro!G33</f>
        <v>429.81</v>
      </c>
      <c r="I5" s="48">
        <f>SUM(Fevereiro!K2:L2)</f>
        <v>260</v>
      </c>
      <c r="J5" s="47">
        <f t="shared" ref="J5:J15" si="0">SUM($C5:$I5)</f>
        <v>1049.2</v>
      </c>
      <c r="K5" s="53">
        <f>Fevereiro!L13</f>
        <v>1042.28</v>
      </c>
      <c r="L5" s="49">
        <f>Fevereiro!L16</f>
        <v>-6.9200000000000728</v>
      </c>
      <c r="M5" s="100">
        <f>L5*100/K5/100</f>
        <v>-6.6392907855855176E-3</v>
      </c>
      <c r="P5" s="24" t="s">
        <v>8</v>
      </c>
      <c r="Q5" s="23">
        <f>Q3-Q4</f>
        <v>5300.6699999999983</v>
      </c>
      <c r="S5" s="79"/>
    </row>
    <row r="6" spans="2:19" ht="16.5" thickBot="1" x14ac:dyDescent="0.3">
      <c r="B6" s="45" t="s">
        <v>13</v>
      </c>
      <c r="C6" s="40">
        <f>Março!B33</f>
        <v>147.58000000000001</v>
      </c>
      <c r="D6" s="78">
        <f>Março!C33</f>
        <v>15.849999999999998</v>
      </c>
      <c r="E6" s="78">
        <f>Março!D33</f>
        <v>50</v>
      </c>
      <c r="F6" s="78">
        <f>Março!E33</f>
        <v>20</v>
      </c>
      <c r="G6" s="78">
        <f>Março!F33</f>
        <v>2</v>
      </c>
      <c r="H6" s="38">
        <f>Março!G33</f>
        <v>199.81</v>
      </c>
      <c r="I6" s="48">
        <f>SUM(Março!K2:L2)</f>
        <v>262</v>
      </c>
      <c r="J6" s="47">
        <f t="shared" si="0"/>
        <v>697.24</v>
      </c>
      <c r="K6" s="53">
        <f>Março!L13</f>
        <v>917.5</v>
      </c>
      <c r="L6" s="49">
        <f>Março!L16</f>
        <v>220.26</v>
      </c>
      <c r="M6" s="100">
        <f>L6*100/K6/100</f>
        <v>0.24006539509536787</v>
      </c>
    </row>
    <row r="7" spans="2:19" ht="16.5" thickBot="1" x14ac:dyDescent="0.3">
      <c r="B7" s="45" t="s">
        <v>14</v>
      </c>
      <c r="C7" s="58">
        <f>Abril!B33</f>
        <v>87.5</v>
      </c>
      <c r="D7" s="37">
        <f>Abril!C33</f>
        <v>22.9</v>
      </c>
      <c r="E7" s="37">
        <f>Abril!D33</f>
        <v>30</v>
      </c>
      <c r="F7" s="37">
        <f>Abril!E33</f>
        <v>10</v>
      </c>
      <c r="G7" s="37">
        <f>Abril!F33</f>
        <v>0</v>
      </c>
      <c r="H7" s="38">
        <f>Abril!G33</f>
        <v>53</v>
      </c>
      <c r="I7" s="40">
        <f>SUM(Abril!K2:L2)</f>
        <v>243</v>
      </c>
      <c r="J7" s="47">
        <f t="shared" si="0"/>
        <v>446.4</v>
      </c>
      <c r="K7" s="53">
        <f>Abril!L13</f>
        <v>1528</v>
      </c>
      <c r="L7" s="49">
        <f>Abril!L16</f>
        <v>1081.5999999999999</v>
      </c>
      <c r="M7" s="100">
        <f>L7*100/K7/100</f>
        <v>0.70785340314136125</v>
      </c>
    </row>
    <row r="8" spans="2:19" ht="16.5" thickBot="1" x14ac:dyDescent="0.3">
      <c r="B8" s="45" t="s">
        <v>15</v>
      </c>
      <c r="C8" s="58">
        <f>Maio!B33</f>
        <v>45.900000000000006</v>
      </c>
      <c r="D8" s="37">
        <f>Maio!C33</f>
        <v>21.6</v>
      </c>
      <c r="E8" s="37">
        <f>Maio!D33</f>
        <v>50</v>
      </c>
      <c r="F8" s="37">
        <f>Maio!E33</f>
        <v>20</v>
      </c>
      <c r="G8" s="37">
        <f>Maio!F33</f>
        <v>23</v>
      </c>
      <c r="H8" s="60">
        <f>Maio!G33</f>
        <v>782</v>
      </c>
      <c r="I8" s="40">
        <f>SUM(Maio!K2:L2)</f>
        <v>255</v>
      </c>
      <c r="J8" s="47">
        <f t="shared" si="0"/>
        <v>1197.5</v>
      </c>
      <c r="K8" s="53">
        <f>Maio!L13</f>
        <v>1076.26</v>
      </c>
      <c r="L8" s="49">
        <f>Maio!L16</f>
        <v>-121.24000000000001</v>
      </c>
      <c r="M8" s="100">
        <f t="shared" ref="M8:M16" si="1">L8*100/K8/100</f>
        <v>-0.11264935982011781</v>
      </c>
    </row>
    <row r="9" spans="2:19" ht="16.5" thickBot="1" x14ac:dyDescent="0.3">
      <c r="B9" s="45" t="s">
        <v>16</v>
      </c>
      <c r="C9" s="58">
        <f>Junho!B33</f>
        <v>103.92</v>
      </c>
      <c r="D9" s="37">
        <f>Junho!C33</f>
        <v>13.849999999999998</v>
      </c>
      <c r="E9" s="37">
        <f>Junho!D33</f>
        <v>70</v>
      </c>
      <c r="F9" s="37">
        <f>Junho!E33</f>
        <v>30</v>
      </c>
      <c r="G9" s="37">
        <f>Junho!F33</f>
        <v>43.7</v>
      </c>
      <c r="H9" s="38">
        <f>Junho!G33</f>
        <v>72.89</v>
      </c>
      <c r="I9" s="40">
        <f>SUM(Junho!K2:L2)</f>
        <v>256.5</v>
      </c>
      <c r="J9" s="47">
        <f t="shared" si="0"/>
        <v>590.8599999999999</v>
      </c>
      <c r="K9" s="53">
        <f>Junho!L13</f>
        <v>888.96</v>
      </c>
      <c r="L9" s="49">
        <f>Junho!L16</f>
        <v>298.10000000000014</v>
      </c>
      <c r="M9" s="100">
        <f t="shared" si="1"/>
        <v>0.33533567314614843</v>
      </c>
    </row>
    <row r="10" spans="2:19" ht="16.5" thickBot="1" x14ac:dyDescent="0.3">
      <c r="B10" s="45" t="s">
        <v>17</v>
      </c>
      <c r="C10" s="40">
        <f>Julho!B33</f>
        <v>68.84</v>
      </c>
      <c r="D10" s="37">
        <f>Julho!C33</f>
        <v>117.75</v>
      </c>
      <c r="E10" s="37">
        <f>Julho!D33</f>
        <v>30</v>
      </c>
      <c r="F10" s="37">
        <f>Julho!E33</f>
        <v>23.7</v>
      </c>
      <c r="G10" s="37">
        <f>Julho!F33</f>
        <v>7.9</v>
      </c>
      <c r="H10" s="60">
        <f>Julho!G33</f>
        <v>158.4</v>
      </c>
      <c r="I10" s="40">
        <f>SUM(Julho!K2:L2)</f>
        <v>289</v>
      </c>
      <c r="J10" s="47">
        <f t="shared" si="0"/>
        <v>695.59</v>
      </c>
      <c r="K10" s="53">
        <f>Julho!L13</f>
        <v>1853</v>
      </c>
      <c r="L10" s="49">
        <f>Julho!L16</f>
        <v>1157.4099999999999</v>
      </c>
      <c r="M10" s="100">
        <f t="shared" si="1"/>
        <v>0.62461413923367504</v>
      </c>
    </row>
    <row r="11" spans="2:19" ht="16.5" thickBot="1" x14ac:dyDescent="0.3">
      <c r="B11" s="45" t="s">
        <v>18</v>
      </c>
      <c r="C11" s="40">
        <f>Agosto!B33</f>
        <v>75.900000000000006</v>
      </c>
      <c r="D11" s="37">
        <f>Agosto!C33</f>
        <v>213.68000000000004</v>
      </c>
      <c r="E11" s="37">
        <f>Agosto!D33</f>
        <v>70</v>
      </c>
      <c r="F11" s="37">
        <f>Agosto!E33</f>
        <v>34</v>
      </c>
      <c r="G11" s="37">
        <f>Agosto!F33</f>
        <v>26.099999999999998</v>
      </c>
      <c r="H11" s="60">
        <f>Agosto!G33</f>
        <v>0</v>
      </c>
      <c r="I11" s="40">
        <f>SUM(Agosto!K2:L2)</f>
        <v>296</v>
      </c>
      <c r="J11" s="47">
        <f t="shared" si="0"/>
        <v>715.68000000000006</v>
      </c>
      <c r="K11" s="53">
        <f>Agosto!L13</f>
        <v>916.5</v>
      </c>
      <c r="L11" s="49">
        <f>Agosto!L16</f>
        <v>200.81999999999994</v>
      </c>
      <c r="M11" s="100">
        <f t="shared" si="1"/>
        <v>0.2191162029459901</v>
      </c>
    </row>
    <row r="12" spans="2:19" ht="16.5" thickBot="1" x14ac:dyDescent="0.3">
      <c r="B12" s="45" t="s">
        <v>19</v>
      </c>
      <c r="C12" s="40">
        <f>Setembro!B33</f>
        <v>51.5</v>
      </c>
      <c r="D12" s="37">
        <f>Setembro!C33</f>
        <v>128.80000000000001</v>
      </c>
      <c r="E12" s="37">
        <f>Setembro!D33</f>
        <v>40</v>
      </c>
      <c r="F12" s="37">
        <f>Setembro!E33</f>
        <v>109.65</v>
      </c>
      <c r="G12" s="37">
        <f>Setembro!F33</f>
        <v>20</v>
      </c>
      <c r="H12" s="60">
        <f>Setembro!G33</f>
        <v>155.94999999999999</v>
      </c>
      <c r="I12" s="40">
        <f>SUM(Setembro!K2:L2)</f>
        <v>302</v>
      </c>
      <c r="J12" s="47">
        <f t="shared" si="0"/>
        <v>807.90000000000009</v>
      </c>
      <c r="K12" s="53">
        <f>Setembro!L13</f>
        <v>916.5</v>
      </c>
      <c r="L12" s="49">
        <f>Setembro!L16</f>
        <v>108.59999999999991</v>
      </c>
      <c r="M12" s="100">
        <f t="shared" si="1"/>
        <v>0.11849427168576096</v>
      </c>
    </row>
    <row r="13" spans="2:19" ht="16.5" thickBot="1" x14ac:dyDescent="0.3">
      <c r="B13" s="45" t="s">
        <v>20</v>
      </c>
      <c r="C13" s="37">
        <f>Outubro!B33</f>
        <v>32</v>
      </c>
      <c r="D13" s="37">
        <f>Outubro!C33</f>
        <v>108.53</v>
      </c>
      <c r="E13" s="37">
        <f>Outubro!D33</f>
        <v>0</v>
      </c>
      <c r="F13" s="37">
        <f>Outubro!E33</f>
        <v>26.75</v>
      </c>
      <c r="G13" s="37">
        <f>Outubro!F33</f>
        <v>25</v>
      </c>
      <c r="H13" s="37">
        <f>Outubro!G33</f>
        <v>217</v>
      </c>
      <c r="I13" s="58">
        <f>SUM(Outubro!K2:L2)</f>
        <v>329.21</v>
      </c>
      <c r="J13" s="47">
        <f t="shared" si="0"/>
        <v>738.49</v>
      </c>
      <c r="K13" s="53">
        <f>Outubro!L13</f>
        <v>939.5</v>
      </c>
      <c r="L13" s="49">
        <f>Outubro!L16</f>
        <v>201.01</v>
      </c>
      <c r="M13" s="100">
        <f t="shared" si="1"/>
        <v>0.2139542309739223</v>
      </c>
    </row>
    <row r="14" spans="2:19" ht="16.5" thickBot="1" x14ac:dyDescent="0.3">
      <c r="B14" s="45" t="s">
        <v>21</v>
      </c>
      <c r="C14" s="37">
        <f>Novembro!B33</f>
        <v>47.12</v>
      </c>
      <c r="D14" s="37">
        <f>Novembro!C33</f>
        <v>5</v>
      </c>
      <c r="E14" s="37">
        <f>Novembro!D33</f>
        <v>30</v>
      </c>
      <c r="F14" s="37">
        <f>Novembro!E33</f>
        <v>44.7</v>
      </c>
      <c r="G14" s="37">
        <f>Novembro!F33</f>
        <v>6.5</v>
      </c>
      <c r="H14" s="37">
        <f>Novembro!G33</f>
        <v>113.13000000000001</v>
      </c>
      <c r="I14" s="40">
        <f>SUM(Novembro!K2:L2)</f>
        <v>335.5</v>
      </c>
      <c r="J14" s="47">
        <f t="shared" si="0"/>
        <v>581.95000000000005</v>
      </c>
      <c r="K14" s="53">
        <f>Novembro!L13</f>
        <v>1890.5</v>
      </c>
      <c r="L14" s="49">
        <f>Novembro!L16</f>
        <v>1308.55</v>
      </c>
      <c r="M14" s="100">
        <f t="shared" si="1"/>
        <v>0.69217138323194916</v>
      </c>
    </row>
    <row r="15" spans="2:19" ht="16.5" thickBot="1" x14ac:dyDescent="0.3">
      <c r="B15" s="46" t="s">
        <v>22</v>
      </c>
      <c r="C15" s="42">
        <f>Dezembro!B33</f>
        <v>21.84</v>
      </c>
      <c r="D15" s="42">
        <f>Dezembro!C33</f>
        <v>67.900000000000006</v>
      </c>
      <c r="E15" s="42">
        <f>Dezembro!D33</f>
        <v>20</v>
      </c>
      <c r="F15" s="42">
        <f>Dezembro!E33</f>
        <v>22</v>
      </c>
      <c r="G15" s="42">
        <f>Dezembro!F33</f>
        <v>68.2</v>
      </c>
      <c r="H15" s="101">
        <f>Dezembro!G33</f>
        <v>221.55</v>
      </c>
      <c r="I15" s="41">
        <f>SUM(Dezembro!K2:L2)</f>
        <v>324.60000000000002</v>
      </c>
      <c r="J15" s="47">
        <f t="shared" si="0"/>
        <v>746.09</v>
      </c>
      <c r="K15" s="53">
        <f>Dezembro!L13</f>
        <v>1515.1399999999999</v>
      </c>
      <c r="L15" s="49">
        <f>Dezembro!L16</f>
        <v>769.04999999999984</v>
      </c>
      <c r="M15" s="100">
        <f t="shared" si="1"/>
        <v>0.50757685758411764</v>
      </c>
    </row>
    <row r="16" spans="2:19" ht="16.5" thickBot="1" x14ac:dyDescent="0.3">
      <c r="B16" s="22" t="s">
        <v>10</v>
      </c>
      <c r="C16" s="50">
        <f t="shared" ref="C16" si="2">SUM(C4:C15)</f>
        <v>864.73</v>
      </c>
      <c r="D16" s="36">
        <f t="shared" ref="D16" si="3">SUM(D4:D15)</f>
        <v>926.71000000000015</v>
      </c>
      <c r="E16" s="36">
        <f t="shared" ref="E16" si="4">SUM(E4:E15)</f>
        <v>490</v>
      </c>
      <c r="F16" s="36">
        <f t="shared" ref="F16" si="5">SUM(F4:F15)</f>
        <v>390.55</v>
      </c>
      <c r="G16" s="36">
        <f t="shared" ref="G16" si="6">SUM(G4:G15)</f>
        <v>406.59999999999997</v>
      </c>
      <c r="H16" s="36">
        <f t="shared" ref="H16" si="7">SUM(H4:H15)</f>
        <v>2610.8700000000003</v>
      </c>
      <c r="I16" s="36">
        <f t="shared" ref="I16" si="8">SUM(I4:I15)</f>
        <v>3410.5099999999998</v>
      </c>
      <c r="J16" s="54">
        <f>SUM(J4:J15)</f>
        <v>9099.9700000000012</v>
      </c>
      <c r="K16" s="54">
        <f>SUM(K4:K15)</f>
        <v>14400.64</v>
      </c>
      <c r="L16" s="51">
        <f>SUM(L4:L15)</f>
        <v>5300.67</v>
      </c>
      <c r="M16" s="100">
        <f t="shared" si="1"/>
        <v>0.36808572396782369</v>
      </c>
    </row>
    <row r="17" spans="9:13" x14ac:dyDescent="0.25">
      <c r="I17" s="79">
        <f>I16*100/K16/100</f>
        <v>0.23683044642460335</v>
      </c>
      <c r="M17" s="102"/>
    </row>
  </sheetData>
  <conditionalFormatting sqref="M4:M16">
    <cfRule type="cellIs" dxfId="27" priority="1" operator="lessThan">
      <formula>0.3</formula>
    </cfRule>
    <cfRule type="cellIs" dxfId="26" priority="2" operator="greaterThan">
      <formula>0.3</formula>
    </cfRule>
  </conditionalFormatting>
  <conditionalFormatting sqref="Q5">
    <cfRule type="cellIs" dxfId="25" priority="5" operator="lessThan">
      <formula>0</formula>
    </cfRule>
    <cfRule type="cellIs" dxfId="24" priority="6" operator="greaterThan">
      <formula>0</formula>
    </cfRule>
  </conditionalFormatting>
  <pageMargins left="0.7" right="0.7" top="0.75" bottom="0.75" header="0.3" footer="0.3"/>
  <pageSetup paperSize="9" orientation="portrait" r:id="rId1"/>
  <ignoredErrors>
    <ignoredError sqref="C7:H7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3"/>
  <sheetViews>
    <sheetView tabSelected="1" topLeftCell="A7" workbookViewId="0">
      <selection activeCell="B37" sqref="B37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8" t="s">
        <v>27</v>
      </c>
    </row>
    <row r="2" spans="1:13" ht="16.5" thickBot="1" x14ac:dyDescent="0.3">
      <c r="A2" s="18">
        <v>1</v>
      </c>
      <c r="B2" s="59"/>
      <c r="C2" s="57"/>
      <c r="D2" s="5"/>
      <c r="E2" s="4"/>
      <c r="F2" s="4"/>
      <c r="G2" s="4"/>
      <c r="H2" s="25"/>
      <c r="I2" s="34">
        <f>SUM(B2:H2)</f>
        <v>0</v>
      </c>
      <c r="J2" s="95"/>
      <c r="K2" s="96">
        <v>217</v>
      </c>
      <c r="L2" s="16">
        <v>40.700000000000003</v>
      </c>
    </row>
    <row r="3" spans="1:13" ht="15.75" x14ac:dyDescent="0.25">
      <c r="A3" s="17">
        <v>2</v>
      </c>
      <c r="B3" s="6"/>
      <c r="C3" s="4"/>
      <c r="D3" s="3"/>
      <c r="E3" s="3"/>
      <c r="F3" s="3">
        <v>3</v>
      </c>
      <c r="G3" s="3"/>
      <c r="H3" s="26"/>
      <c r="I3" s="34">
        <f t="shared" ref="I3:I32" si="0">SUM(B3:H3)</f>
        <v>3</v>
      </c>
      <c r="J3" s="1"/>
    </row>
    <row r="4" spans="1:13" ht="15.75" x14ac:dyDescent="0.25">
      <c r="A4" s="17">
        <v>3</v>
      </c>
      <c r="B4" s="6"/>
      <c r="C4" s="3"/>
      <c r="D4" s="3"/>
      <c r="E4" s="3"/>
      <c r="F4" s="3">
        <v>3</v>
      </c>
      <c r="G4" s="3"/>
      <c r="H4" s="26"/>
      <c r="I4" s="34">
        <f t="shared" si="0"/>
        <v>3</v>
      </c>
      <c r="J4" s="1"/>
      <c r="K4" s="2"/>
      <c r="L4" s="1"/>
    </row>
    <row r="5" spans="1:13" ht="15.75" x14ac:dyDescent="0.25">
      <c r="A5" s="56">
        <v>4</v>
      </c>
      <c r="B5" s="6"/>
      <c r="C5" s="3"/>
      <c r="D5" s="3"/>
      <c r="E5" s="3"/>
      <c r="F5" s="3">
        <f>2.7+3.2</f>
        <v>5.9</v>
      </c>
      <c r="G5" s="3"/>
      <c r="H5" s="26"/>
      <c r="I5" s="34">
        <f t="shared" si="0"/>
        <v>5.9</v>
      </c>
      <c r="J5" s="91"/>
      <c r="K5" s="92"/>
      <c r="L5" s="93"/>
    </row>
    <row r="6" spans="1:13" ht="15.75" x14ac:dyDescent="0.25">
      <c r="A6" s="56">
        <v>5</v>
      </c>
      <c r="B6" s="6"/>
      <c r="C6" s="3"/>
      <c r="D6" s="3">
        <v>30</v>
      </c>
      <c r="E6" s="3">
        <v>10</v>
      </c>
      <c r="F6" s="3"/>
      <c r="G6" s="3"/>
      <c r="H6" s="26"/>
      <c r="I6" s="34">
        <f t="shared" si="0"/>
        <v>40</v>
      </c>
      <c r="J6" s="1"/>
      <c r="K6" s="2"/>
      <c r="L6" s="1"/>
    </row>
    <row r="7" spans="1:13" ht="15.75" x14ac:dyDescent="0.25">
      <c r="A7" s="17">
        <v>6</v>
      </c>
      <c r="B7" s="6">
        <v>5</v>
      </c>
      <c r="C7" s="3">
        <v>1.4</v>
      </c>
      <c r="D7" s="3"/>
      <c r="E7" s="3"/>
      <c r="F7" s="3"/>
      <c r="G7" s="3"/>
      <c r="H7" s="26"/>
      <c r="I7" s="34">
        <f t="shared" si="0"/>
        <v>6.4</v>
      </c>
      <c r="J7" s="1"/>
      <c r="K7" s="2"/>
      <c r="L7" s="1"/>
    </row>
    <row r="8" spans="1:13" ht="15.75" x14ac:dyDescent="0.25">
      <c r="A8" s="17">
        <v>7</v>
      </c>
      <c r="B8" s="6"/>
      <c r="C8" s="3"/>
      <c r="D8" s="3"/>
      <c r="E8" s="3"/>
      <c r="F8" s="3"/>
      <c r="G8" s="3"/>
      <c r="H8" s="26"/>
      <c r="I8" s="34">
        <f t="shared" si="0"/>
        <v>0</v>
      </c>
      <c r="J8" s="1"/>
      <c r="K8" s="2"/>
      <c r="L8" s="1"/>
    </row>
    <row r="9" spans="1:13" ht="15.75" x14ac:dyDescent="0.25">
      <c r="A9" s="17">
        <v>8</v>
      </c>
      <c r="B9" s="6"/>
      <c r="C9" s="3">
        <v>0.6</v>
      </c>
      <c r="D9" s="3"/>
      <c r="E9" s="3"/>
      <c r="F9" s="3"/>
      <c r="G9" s="3">
        <f>11.12+7.3</f>
        <v>18.419999999999998</v>
      </c>
      <c r="H9" s="26" t="s">
        <v>28</v>
      </c>
      <c r="I9" s="34">
        <f t="shared" si="0"/>
        <v>19.02</v>
      </c>
      <c r="J9" s="1"/>
      <c r="K9" s="2"/>
      <c r="L9" s="1"/>
    </row>
    <row r="10" spans="1:13" ht="15.75" x14ac:dyDescent="0.25">
      <c r="A10" s="17">
        <v>9</v>
      </c>
      <c r="B10" s="6"/>
      <c r="C10" s="3">
        <v>1.45</v>
      </c>
      <c r="D10" s="3"/>
      <c r="E10" s="3"/>
      <c r="F10" s="3"/>
      <c r="G10" s="3">
        <v>8.5</v>
      </c>
      <c r="H10" s="26" t="s">
        <v>29</v>
      </c>
      <c r="I10" s="34">
        <f t="shared" si="0"/>
        <v>9.9499999999999993</v>
      </c>
      <c r="J10" s="1"/>
      <c r="K10" s="2"/>
      <c r="L10" s="1"/>
    </row>
    <row r="11" spans="1:13" ht="15.75" x14ac:dyDescent="0.25">
      <c r="A11" s="17">
        <v>10</v>
      </c>
      <c r="B11" s="6"/>
      <c r="C11" s="3">
        <v>0.45</v>
      </c>
      <c r="D11" s="3"/>
      <c r="E11" s="3"/>
      <c r="F11" s="3">
        <v>3</v>
      </c>
      <c r="G11" s="3"/>
      <c r="H11" s="26"/>
      <c r="I11" s="34">
        <f t="shared" si="0"/>
        <v>3.45</v>
      </c>
      <c r="J11" s="1"/>
      <c r="K11" s="2"/>
      <c r="L11" s="1"/>
    </row>
    <row r="12" spans="1:13" ht="16.5" thickBot="1" x14ac:dyDescent="0.3">
      <c r="A12" s="56">
        <v>11</v>
      </c>
      <c r="B12" s="6">
        <f>53.17-G12</f>
        <v>36.18</v>
      </c>
      <c r="C12" s="3"/>
      <c r="D12" s="3"/>
      <c r="E12" s="3"/>
      <c r="F12" s="3">
        <v>3</v>
      </c>
      <c r="G12" s="3">
        <f>2.49+6+4.5+4</f>
        <v>16.990000000000002</v>
      </c>
      <c r="H12" s="26" t="s">
        <v>30</v>
      </c>
      <c r="I12" s="34">
        <f t="shared" si="0"/>
        <v>56.17</v>
      </c>
      <c r="J12" s="1"/>
      <c r="K12" s="2"/>
      <c r="L12" s="1"/>
    </row>
    <row r="13" spans="1:13" ht="16.5" thickBot="1" x14ac:dyDescent="0.3">
      <c r="A13" s="56">
        <v>12</v>
      </c>
      <c r="B13" s="6"/>
      <c r="C13" s="3"/>
      <c r="D13" s="3"/>
      <c r="E13" s="3"/>
      <c r="F13" s="3"/>
      <c r="G13" s="3">
        <v>13</v>
      </c>
      <c r="H13" s="26" t="s">
        <v>31</v>
      </c>
      <c r="I13" s="34">
        <f t="shared" si="0"/>
        <v>13</v>
      </c>
      <c r="J13" s="1"/>
      <c r="K13" s="10" t="s">
        <v>6</v>
      </c>
      <c r="L13" s="21">
        <v>916.5</v>
      </c>
      <c r="M13" s="82"/>
    </row>
    <row r="14" spans="1:13" ht="15.75" x14ac:dyDescent="0.25">
      <c r="A14" s="17">
        <v>13</v>
      </c>
      <c r="B14" s="6"/>
      <c r="C14" s="3">
        <v>0.45</v>
      </c>
      <c r="D14" s="3"/>
      <c r="E14" s="3"/>
      <c r="F14" s="3"/>
      <c r="G14" s="3"/>
      <c r="H14" s="26"/>
      <c r="I14" s="34">
        <f t="shared" si="0"/>
        <v>0.45</v>
      </c>
      <c r="J14" s="1"/>
      <c r="K14" s="15" t="s">
        <v>7</v>
      </c>
      <c r="L14" s="20">
        <f>SUM(B33:H33)+K2+L2</f>
        <v>833.06999999999994</v>
      </c>
      <c r="M14" s="89">
        <f>L14*100/L13/100</f>
        <v>0.90896890343698855</v>
      </c>
    </row>
    <row r="15" spans="1:13" ht="15.75" x14ac:dyDescent="0.25">
      <c r="A15" s="17">
        <v>14</v>
      </c>
      <c r="B15" s="6">
        <v>4.8</v>
      </c>
      <c r="C15" s="3">
        <v>0.8</v>
      </c>
      <c r="D15" s="3"/>
      <c r="E15" s="3"/>
      <c r="F15" s="3"/>
      <c r="G15" s="3"/>
      <c r="H15" s="26"/>
      <c r="I15" s="34">
        <f t="shared" si="0"/>
        <v>5.6</v>
      </c>
      <c r="J15" s="1"/>
      <c r="K15" s="13"/>
      <c r="L15" s="12"/>
      <c r="M15" s="88"/>
    </row>
    <row r="16" spans="1:13" ht="16.5" thickBot="1" x14ac:dyDescent="0.3">
      <c r="A16" s="17">
        <v>15</v>
      </c>
      <c r="B16" s="6"/>
      <c r="C16" s="3">
        <f>0.45+0.25</f>
        <v>0.7</v>
      </c>
      <c r="D16" s="3"/>
      <c r="E16" s="3"/>
      <c r="F16" s="3"/>
      <c r="G16" s="3">
        <v>50</v>
      </c>
      <c r="H16" s="26" t="s">
        <v>33</v>
      </c>
      <c r="I16" s="34">
        <f t="shared" si="0"/>
        <v>50.7</v>
      </c>
      <c r="J16" s="1"/>
      <c r="K16" s="14" t="s">
        <v>8</v>
      </c>
      <c r="L16" s="11">
        <f>L13-L14</f>
        <v>83.430000000000064</v>
      </c>
      <c r="M16" s="90">
        <f>(L16*100/L13)/100</f>
        <v>9.1031096563011532E-2</v>
      </c>
    </row>
    <row r="17" spans="1:12" ht="15.75" x14ac:dyDescent="0.25">
      <c r="A17" s="17">
        <v>16</v>
      </c>
      <c r="B17" s="6"/>
      <c r="C17" s="3">
        <f>0.9+0.25</f>
        <v>1.1499999999999999</v>
      </c>
      <c r="D17" s="3"/>
      <c r="E17" s="3"/>
      <c r="F17" s="3"/>
      <c r="G17" s="3"/>
      <c r="H17" s="26"/>
      <c r="I17" s="34">
        <f t="shared" si="0"/>
        <v>1.1499999999999999</v>
      </c>
      <c r="J17" s="1"/>
      <c r="K17" s="1"/>
      <c r="L17" s="1"/>
    </row>
    <row r="18" spans="1:12" ht="15.75" x14ac:dyDescent="0.25">
      <c r="A18" s="17">
        <v>17</v>
      </c>
      <c r="B18" s="6"/>
      <c r="C18" s="3">
        <f>7.75</f>
        <v>7.75</v>
      </c>
      <c r="D18" s="3"/>
      <c r="E18" s="3"/>
      <c r="F18" s="3">
        <v>12.5</v>
      </c>
      <c r="G18" s="3"/>
      <c r="H18" s="26"/>
      <c r="I18" s="34">
        <f t="shared" si="0"/>
        <v>20.25</v>
      </c>
      <c r="J18" s="1"/>
      <c r="K18" s="1"/>
      <c r="L18" s="1"/>
    </row>
    <row r="19" spans="1:12" ht="15.75" x14ac:dyDescent="0.25">
      <c r="A19" s="56">
        <v>18</v>
      </c>
      <c r="B19" s="6"/>
      <c r="C19" s="3"/>
      <c r="D19" s="3"/>
      <c r="E19" s="3"/>
      <c r="F19" s="3"/>
      <c r="G19" s="3"/>
      <c r="H19" s="26"/>
      <c r="I19" s="34">
        <f t="shared" si="0"/>
        <v>0</v>
      </c>
      <c r="J19" s="1"/>
      <c r="K19" s="1"/>
      <c r="L19" s="1"/>
    </row>
    <row r="20" spans="1:12" ht="15.75" x14ac:dyDescent="0.25">
      <c r="A20" s="56">
        <v>19</v>
      </c>
      <c r="B20" s="6">
        <v>23</v>
      </c>
      <c r="C20" s="3"/>
      <c r="D20" s="3"/>
      <c r="E20" s="3"/>
      <c r="F20" s="3"/>
      <c r="G20" s="3">
        <v>44</v>
      </c>
      <c r="H20" s="26" t="s">
        <v>32</v>
      </c>
      <c r="I20" s="34">
        <f t="shared" si="0"/>
        <v>67</v>
      </c>
      <c r="J20" s="1"/>
      <c r="K20" s="1"/>
      <c r="L20" s="1"/>
    </row>
    <row r="21" spans="1:12" ht="15.75" x14ac:dyDescent="0.25">
      <c r="A21" s="17">
        <v>20</v>
      </c>
      <c r="B21" s="6"/>
      <c r="C21" s="3">
        <f>0.25+0.45</f>
        <v>0.7</v>
      </c>
      <c r="D21" s="3"/>
      <c r="E21" s="3"/>
      <c r="F21" s="3"/>
      <c r="G21" s="3"/>
      <c r="H21" s="26"/>
      <c r="I21" s="34">
        <f t="shared" si="0"/>
        <v>0.7</v>
      </c>
      <c r="J21" s="1"/>
      <c r="K21" s="1"/>
      <c r="L21" s="1"/>
    </row>
    <row r="22" spans="1:12" ht="15.75" x14ac:dyDescent="0.25">
      <c r="A22" s="17">
        <v>21</v>
      </c>
      <c r="B22" s="6"/>
      <c r="C22" s="3">
        <v>0.8</v>
      </c>
      <c r="D22" s="3">
        <v>40</v>
      </c>
      <c r="E22" s="3"/>
      <c r="F22" s="3"/>
      <c r="G22" s="3">
        <f>30+8.25</f>
        <v>38.25</v>
      </c>
      <c r="H22" s="26" t="s">
        <v>34</v>
      </c>
      <c r="I22" s="34">
        <f t="shared" si="0"/>
        <v>79.05</v>
      </c>
      <c r="J22" s="1"/>
      <c r="K22" s="1"/>
      <c r="L22" s="1"/>
    </row>
    <row r="23" spans="1:12" ht="15.75" x14ac:dyDescent="0.25">
      <c r="A23" s="17">
        <v>22</v>
      </c>
      <c r="B23" s="6"/>
      <c r="C23" s="3">
        <v>0.45</v>
      </c>
      <c r="D23" s="3"/>
      <c r="E23" s="3"/>
      <c r="F23" s="3">
        <v>10</v>
      </c>
      <c r="G23" s="3"/>
      <c r="H23" s="26"/>
      <c r="I23" s="34">
        <f t="shared" si="0"/>
        <v>10.45</v>
      </c>
      <c r="J23" s="1"/>
      <c r="K23" s="1"/>
      <c r="L23" s="1"/>
    </row>
    <row r="24" spans="1:12" ht="15.75" x14ac:dyDescent="0.25">
      <c r="A24" s="17">
        <v>23</v>
      </c>
      <c r="B24" s="6"/>
      <c r="C24" s="3">
        <v>0.25</v>
      </c>
      <c r="D24" s="3"/>
      <c r="E24" s="3"/>
      <c r="F24" s="3"/>
      <c r="G24" s="3"/>
      <c r="H24" s="26"/>
      <c r="I24" s="34">
        <f t="shared" si="0"/>
        <v>0.25</v>
      </c>
      <c r="J24" s="1"/>
      <c r="K24" s="1"/>
      <c r="L24" s="1"/>
    </row>
    <row r="25" spans="1:12" ht="15.75" x14ac:dyDescent="0.25">
      <c r="A25" s="17">
        <v>24</v>
      </c>
      <c r="B25" s="6"/>
      <c r="C25" s="3">
        <v>17.5</v>
      </c>
      <c r="D25" s="3"/>
      <c r="E25" s="3"/>
      <c r="F25" s="3">
        <f>2.5+1+2</f>
        <v>5.5</v>
      </c>
      <c r="G25" s="3"/>
      <c r="H25" s="26"/>
      <c r="I25" s="34">
        <f t="shared" si="0"/>
        <v>23</v>
      </c>
      <c r="J25" s="1"/>
      <c r="K25" s="1"/>
      <c r="L25" s="1"/>
    </row>
    <row r="26" spans="1:12" ht="15.75" x14ac:dyDescent="0.25">
      <c r="A26" s="56">
        <v>25</v>
      </c>
      <c r="B26" s="6"/>
      <c r="C26" s="3">
        <v>6.2</v>
      </c>
      <c r="D26" s="3"/>
      <c r="E26" s="3"/>
      <c r="F26" s="3">
        <f>6.4+5.7</f>
        <v>12.100000000000001</v>
      </c>
      <c r="G26" s="3"/>
      <c r="H26" s="26"/>
      <c r="I26" s="34">
        <f t="shared" si="0"/>
        <v>18.3</v>
      </c>
      <c r="J26" s="1"/>
      <c r="K26" s="1"/>
      <c r="L26" s="1"/>
    </row>
    <row r="27" spans="1:12" ht="15.75" x14ac:dyDescent="0.25">
      <c r="A27" s="56">
        <v>26</v>
      </c>
      <c r="B27" s="6"/>
      <c r="C27" s="3"/>
      <c r="D27" s="3"/>
      <c r="E27" s="3"/>
      <c r="F27" s="3"/>
      <c r="G27" s="3"/>
      <c r="H27" s="26" t="s">
        <v>35</v>
      </c>
      <c r="I27" s="34">
        <f t="shared" si="0"/>
        <v>0</v>
      </c>
      <c r="J27" s="1"/>
      <c r="K27" s="1"/>
      <c r="L27" s="1"/>
    </row>
    <row r="28" spans="1:12" ht="15.75" x14ac:dyDescent="0.25">
      <c r="A28" s="17">
        <v>27</v>
      </c>
      <c r="B28" s="6">
        <f>12.08-2-3.67</f>
        <v>6.41</v>
      </c>
      <c r="C28" s="3">
        <f>0.45+0.25</f>
        <v>0.7</v>
      </c>
      <c r="D28" s="3"/>
      <c r="E28" s="3"/>
      <c r="F28" s="3"/>
      <c r="G28" s="3">
        <f>12.5+(2+3.67)</f>
        <v>18.170000000000002</v>
      </c>
      <c r="H28" s="26" t="s">
        <v>36</v>
      </c>
      <c r="I28" s="34">
        <f t="shared" si="0"/>
        <v>25.28</v>
      </c>
      <c r="J28" s="1"/>
      <c r="K28" s="1"/>
      <c r="L28" s="1"/>
    </row>
    <row r="29" spans="1:12" ht="15.75" x14ac:dyDescent="0.25">
      <c r="A29" s="17">
        <v>28</v>
      </c>
      <c r="B29" s="62"/>
      <c r="C29" s="3">
        <v>0.6</v>
      </c>
      <c r="D29" s="3"/>
      <c r="E29" s="3"/>
      <c r="F29" s="3"/>
      <c r="G29" s="3"/>
      <c r="H29" s="26"/>
      <c r="I29" s="34">
        <f t="shared" si="0"/>
        <v>0.6</v>
      </c>
      <c r="J29" s="1"/>
      <c r="K29" s="1"/>
      <c r="L29" s="1"/>
    </row>
    <row r="30" spans="1:12" ht="15.75" x14ac:dyDescent="0.25">
      <c r="A30" s="17">
        <v>29</v>
      </c>
      <c r="B30" s="6"/>
      <c r="C30" s="3">
        <v>0.6</v>
      </c>
      <c r="D30" s="3"/>
      <c r="E30" s="3"/>
      <c r="F30" s="3"/>
      <c r="G30" s="3"/>
      <c r="H30" s="26"/>
      <c r="I30" s="34">
        <f t="shared" si="0"/>
        <v>0.6</v>
      </c>
      <c r="J30" s="1"/>
      <c r="K30" s="1"/>
      <c r="L30" s="1"/>
    </row>
    <row r="31" spans="1:12" ht="15.75" x14ac:dyDescent="0.25">
      <c r="A31" s="17">
        <v>30</v>
      </c>
      <c r="B31" s="6"/>
      <c r="C31" s="3">
        <v>0.6</v>
      </c>
      <c r="D31" s="3"/>
      <c r="E31" s="3"/>
      <c r="F31" s="3"/>
      <c r="G31" s="3"/>
      <c r="H31" s="26"/>
      <c r="I31" s="34">
        <f t="shared" si="0"/>
        <v>0.6</v>
      </c>
      <c r="J31" s="1"/>
      <c r="K31" s="1"/>
      <c r="L31" s="1"/>
    </row>
    <row r="32" spans="1:12" ht="16.5" thickBot="1" x14ac:dyDescent="0.3">
      <c r="A32" s="19">
        <v>31</v>
      </c>
      <c r="B32" s="7"/>
      <c r="C32" s="8">
        <v>111.5</v>
      </c>
      <c r="D32" s="8"/>
      <c r="E32" s="8"/>
      <c r="F32" s="8"/>
      <c r="G32" s="8"/>
      <c r="H32" s="27"/>
      <c r="I32" s="34">
        <f t="shared" si="0"/>
        <v>111.5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75.389999999999986</v>
      </c>
      <c r="C33" s="29">
        <f>SUM(C2:C32)</f>
        <v>154.65</v>
      </c>
      <c r="D33" s="28">
        <f t="shared" ref="D33:H33" si="1">SUM(D2:D32)</f>
        <v>70</v>
      </c>
      <c r="E33" s="29">
        <f t="shared" si="1"/>
        <v>10</v>
      </c>
      <c r="F33" s="29">
        <f t="shared" si="1"/>
        <v>58</v>
      </c>
      <c r="G33" s="28">
        <f t="shared" si="1"/>
        <v>207.32999999999998</v>
      </c>
      <c r="H33" s="29">
        <f t="shared" si="1"/>
        <v>0</v>
      </c>
      <c r="I33" s="33">
        <f>SUM(I2:I32)</f>
        <v>575.37</v>
      </c>
    </row>
  </sheetData>
  <conditionalFormatting sqref="L16">
    <cfRule type="cellIs" dxfId="23" priority="1" operator="lessThan">
      <formula>0</formula>
    </cfRule>
    <cfRule type="cellIs" dxfId="22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3"/>
  <sheetViews>
    <sheetView topLeftCell="A10" workbookViewId="0">
      <selection activeCell="M16" sqref="M16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8" t="s">
        <v>27</v>
      </c>
    </row>
    <row r="2" spans="1:13" ht="16.5" thickBot="1" x14ac:dyDescent="0.3">
      <c r="A2" s="63">
        <v>1</v>
      </c>
      <c r="B2" s="59">
        <v>48.74</v>
      </c>
      <c r="C2" s="57"/>
      <c r="D2" s="5"/>
      <c r="E2" s="4"/>
      <c r="F2" s="4">
        <v>6.4</v>
      </c>
      <c r="G2" s="4"/>
      <c r="H2" s="25"/>
      <c r="I2" s="34">
        <f>SUM(B2:H2)</f>
        <v>55.14</v>
      </c>
      <c r="J2" s="1"/>
      <c r="K2" s="96">
        <v>217</v>
      </c>
      <c r="L2" s="16">
        <v>43</v>
      </c>
    </row>
    <row r="3" spans="1:13" ht="15.75" x14ac:dyDescent="0.25">
      <c r="A3" s="56">
        <v>2</v>
      </c>
      <c r="B3" s="6"/>
      <c r="C3" s="4"/>
      <c r="D3" s="3"/>
      <c r="E3" s="3"/>
      <c r="F3" s="3"/>
      <c r="G3" s="3"/>
      <c r="H3" s="26"/>
      <c r="I3" s="34">
        <f t="shared" ref="I3:I32" si="0">SUM(B3:H3)</f>
        <v>0</v>
      </c>
      <c r="J3" s="91"/>
      <c r="K3" s="92"/>
      <c r="L3" s="93"/>
    </row>
    <row r="4" spans="1:13" ht="15.75" x14ac:dyDescent="0.25">
      <c r="A4" s="17">
        <v>3</v>
      </c>
      <c r="B4" s="6"/>
      <c r="C4" s="3">
        <f>0.25+0.45</f>
        <v>0.7</v>
      </c>
      <c r="D4" s="3"/>
      <c r="E4" s="3"/>
      <c r="F4" s="3"/>
      <c r="G4" s="3"/>
      <c r="H4" s="26"/>
      <c r="I4" s="34">
        <f t="shared" si="0"/>
        <v>0.7</v>
      </c>
      <c r="J4" s="1"/>
      <c r="K4" s="2"/>
      <c r="L4" s="80"/>
    </row>
    <row r="5" spans="1:13" ht="15.75" x14ac:dyDescent="0.25">
      <c r="A5" s="17">
        <v>4</v>
      </c>
      <c r="B5" s="6"/>
      <c r="C5" s="3">
        <f>0.25+0.45</f>
        <v>0.7</v>
      </c>
      <c r="D5" s="3"/>
      <c r="E5" s="3"/>
      <c r="F5" s="3"/>
      <c r="G5" s="3">
        <v>30</v>
      </c>
      <c r="H5" s="26" t="s">
        <v>37</v>
      </c>
      <c r="I5" s="34">
        <f t="shared" si="0"/>
        <v>30.7</v>
      </c>
      <c r="J5" s="1"/>
      <c r="K5" s="2"/>
      <c r="L5" s="1"/>
    </row>
    <row r="6" spans="1:13" ht="15.75" x14ac:dyDescent="0.25">
      <c r="A6" s="17">
        <v>5</v>
      </c>
      <c r="B6" s="6"/>
      <c r="C6" s="3">
        <f>0.25+0.45</f>
        <v>0.7</v>
      </c>
      <c r="D6" s="3"/>
      <c r="E6" s="3"/>
      <c r="F6" s="3">
        <v>2</v>
      </c>
      <c r="G6" s="3"/>
      <c r="H6" s="26"/>
      <c r="I6" s="34">
        <f t="shared" si="0"/>
        <v>2.7</v>
      </c>
      <c r="J6" s="1"/>
      <c r="K6" s="2"/>
      <c r="L6" s="1"/>
    </row>
    <row r="7" spans="1:13" ht="15.75" x14ac:dyDescent="0.25">
      <c r="A7" s="17">
        <v>6</v>
      </c>
      <c r="B7" s="6">
        <v>1.5</v>
      </c>
      <c r="C7" s="3">
        <f>0.25+0.45</f>
        <v>0.7</v>
      </c>
      <c r="D7" s="3"/>
      <c r="E7" s="3"/>
      <c r="F7" s="3"/>
      <c r="G7" s="3">
        <f>58+16.25</f>
        <v>74.25</v>
      </c>
      <c r="H7" s="26" t="s">
        <v>38</v>
      </c>
      <c r="I7" s="34">
        <f t="shared" si="0"/>
        <v>76.45</v>
      </c>
      <c r="J7" s="1"/>
      <c r="K7" s="2"/>
      <c r="L7" s="1"/>
    </row>
    <row r="8" spans="1:13" ht="15.75" x14ac:dyDescent="0.25">
      <c r="A8" s="17">
        <v>7</v>
      </c>
      <c r="B8" s="6"/>
      <c r="C8" s="3">
        <v>0.7</v>
      </c>
      <c r="D8" s="3"/>
      <c r="E8" s="3">
        <v>13.75</v>
      </c>
      <c r="F8" s="3">
        <v>3.7</v>
      </c>
      <c r="G8" s="3"/>
      <c r="H8" s="26"/>
      <c r="I8" s="34">
        <f t="shared" si="0"/>
        <v>18.149999999999999</v>
      </c>
      <c r="J8" s="1"/>
      <c r="K8" s="2"/>
      <c r="L8" s="1"/>
    </row>
    <row r="9" spans="1:13" ht="15.75" x14ac:dyDescent="0.25">
      <c r="A9" s="56">
        <v>8</v>
      </c>
      <c r="B9" s="6"/>
      <c r="C9" s="3">
        <v>24</v>
      </c>
      <c r="D9" s="3"/>
      <c r="E9" s="3"/>
      <c r="F9" s="3">
        <f>1.2+1.7</f>
        <v>2.9</v>
      </c>
      <c r="G9" s="3"/>
      <c r="H9" s="26"/>
      <c r="I9" s="34">
        <f t="shared" si="0"/>
        <v>26.9</v>
      </c>
      <c r="J9" s="1"/>
      <c r="K9" s="2"/>
      <c r="L9" s="1"/>
    </row>
    <row r="10" spans="1:13" ht="15.75" x14ac:dyDescent="0.25">
      <c r="A10" s="56">
        <v>9</v>
      </c>
      <c r="B10" s="6"/>
      <c r="C10" s="3"/>
      <c r="D10" s="3"/>
      <c r="E10" s="3">
        <f>13.5+2.5</f>
        <v>16</v>
      </c>
      <c r="F10" s="3"/>
      <c r="G10" s="3"/>
      <c r="H10" s="26"/>
      <c r="I10" s="34">
        <f t="shared" si="0"/>
        <v>16</v>
      </c>
      <c r="J10" s="1"/>
      <c r="K10" s="2"/>
      <c r="L10" s="1"/>
    </row>
    <row r="11" spans="1:13" ht="15.75" x14ac:dyDescent="0.25">
      <c r="A11" s="17">
        <v>10</v>
      </c>
      <c r="B11" s="6"/>
      <c r="C11" s="3">
        <v>0.7</v>
      </c>
      <c r="D11" s="3"/>
      <c r="E11" s="3"/>
      <c r="F11" s="3"/>
      <c r="G11" s="3"/>
      <c r="H11" s="26"/>
      <c r="I11" s="34">
        <f t="shared" si="0"/>
        <v>0.7</v>
      </c>
      <c r="J11" s="1"/>
      <c r="K11" s="2"/>
      <c r="L11" s="1"/>
    </row>
    <row r="12" spans="1:13" ht="16.5" thickBot="1" x14ac:dyDescent="0.3">
      <c r="A12" s="17">
        <v>11</v>
      </c>
      <c r="B12" s="6"/>
      <c r="C12" s="3">
        <v>0.7</v>
      </c>
      <c r="D12" s="3"/>
      <c r="E12" s="3"/>
      <c r="F12" s="3"/>
      <c r="G12" s="3"/>
      <c r="H12" s="26"/>
      <c r="I12" s="34">
        <f t="shared" si="0"/>
        <v>0.7</v>
      </c>
      <c r="J12" s="1"/>
      <c r="K12" s="2"/>
      <c r="L12" s="1"/>
    </row>
    <row r="13" spans="1:13" ht="16.5" thickBot="1" x14ac:dyDescent="0.3">
      <c r="A13" s="17">
        <v>12</v>
      </c>
      <c r="B13" s="6"/>
      <c r="C13" s="3">
        <v>1.3</v>
      </c>
      <c r="D13" s="3"/>
      <c r="E13" s="3"/>
      <c r="F13" s="3">
        <f>23.5</f>
        <v>23.5</v>
      </c>
      <c r="G13" s="3">
        <v>50</v>
      </c>
      <c r="H13" s="26" t="s">
        <v>33</v>
      </c>
      <c r="I13" s="34">
        <f t="shared" si="0"/>
        <v>74.8</v>
      </c>
      <c r="J13" s="1"/>
      <c r="K13" s="10" t="s">
        <v>6</v>
      </c>
      <c r="L13" s="21">
        <v>1042.28</v>
      </c>
      <c r="M13" s="82"/>
    </row>
    <row r="14" spans="1:13" ht="15.75" x14ac:dyDescent="0.25">
      <c r="A14" s="17">
        <v>13</v>
      </c>
      <c r="B14" s="6"/>
      <c r="C14" s="3">
        <v>1.3</v>
      </c>
      <c r="D14" s="3"/>
      <c r="E14" s="3"/>
      <c r="F14" s="3"/>
      <c r="G14" s="3"/>
      <c r="H14" s="26"/>
      <c r="I14" s="34">
        <f t="shared" si="0"/>
        <v>1.3</v>
      </c>
      <c r="J14" s="1"/>
      <c r="K14" s="15" t="s">
        <v>7</v>
      </c>
      <c r="L14" s="20">
        <f>SUM(B33:H33)+K2+L2</f>
        <v>1049.2</v>
      </c>
      <c r="M14" s="89">
        <f>L14*100/L13/100</f>
        <v>1.0066392907855854</v>
      </c>
    </row>
    <row r="15" spans="1:13" ht="15.75" x14ac:dyDescent="0.25">
      <c r="A15" s="17">
        <v>14</v>
      </c>
      <c r="B15" s="6"/>
      <c r="C15" s="3">
        <v>0.7</v>
      </c>
      <c r="D15" s="3"/>
      <c r="E15" s="3"/>
      <c r="F15" s="3"/>
      <c r="G15" s="3"/>
      <c r="H15" s="26"/>
      <c r="I15" s="34">
        <f t="shared" si="0"/>
        <v>0.7</v>
      </c>
      <c r="J15" s="1"/>
      <c r="K15" s="13"/>
      <c r="L15" s="12"/>
      <c r="M15" s="88"/>
    </row>
    <row r="16" spans="1:13" ht="16.5" thickBot="1" x14ac:dyDescent="0.3">
      <c r="A16" s="56">
        <v>15</v>
      </c>
      <c r="B16" s="6"/>
      <c r="C16" s="3"/>
      <c r="D16" s="3"/>
      <c r="E16" s="3"/>
      <c r="F16" s="3">
        <f>14+3</f>
        <v>17</v>
      </c>
      <c r="G16" s="3"/>
      <c r="H16" s="26"/>
      <c r="I16" s="34">
        <f t="shared" si="0"/>
        <v>17</v>
      </c>
      <c r="J16" s="1"/>
      <c r="K16" s="14" t="s">
        <v>8</v>
      </c>
      <c r="L16" s="11">
        <f>L13-L14</f>
        <v>-6.9200000000000728</v>
      </c>
      <c r="M16" s="90">
        <f>(L16*100/L13)/100</f>
        <v>-6.6392907855855176E-3</v>
      </c>
    </row>
    <row r="17" spans="1:12" ht="15.75" x14ac:dyDescent="0.25">
      <c r="A17" s="56">
        <v>16</v>
      </c>
      <c r="B17" s="6">
        <v>57</v>
      </c>
      <c r="C17" s="3"/>
      <c r="D17" s="3"/>
      <c r="E17" s="3"/>
      <c r="F17" s="3"/>
      <c r="G17" s="3"/>
      <c r="H17" s="26"/>
      <c r="I17" s="34">
        <f t="shared" si="0"/>
        <v>57</v>
      </c>
      <c r="J17" s="1"/>
      <c r="K17" s="1"/>
      <c r="L17" s="1"/>
    </row>
    <row r="18" spans="1:12" ht="15.75" x14ac:dyDescent="0.25">
      <c r="A18" s="17">
        <v>17</v>
      </c>
      <c r="B18" s="6"/>
      <c r="C18" s="3">
        <v>0.7</v>
      </c>
      <c r="D18" s="3"/>
      <c r="E18" s="3"/>
      <c r="F18" s="3"/>
      <c r="G18" s="3"/>
      <c r="H18" s="26"/>
      <c r="I18" s="34">
        <f t="shared" si="0"/>
        <v>0.7</v>
      </c>
      <c r="J18" s="1"/>
      <c r="K18" s="1"/>
      <c r="L18" s="1"/>
    </row>
    <row r="19" spans="1:12" ht="15.75" x14ac:dyDescent="0.25">
      <c r="A19" s="17">
        <v>18</v>
      </c>
      <c r="B19" s="6"/>
      <c r="C19" s="3">
        <v>0.45</v>
      </c>
      <c r="D19" s="3"/>
      <c r="E19" s="3"/>
      <c r="F19" s="3"/>
      <c r="G19" s="3">
        <f>30+56</f>
        <v>86</v>
      </c>
      <c r="H19" s="26" t="s">
        <v>39</v>
      </c>
      <c r="I19" s="34">
        <f t="shared" si="0"/>
        <v>86.45</v>
      </c>
      <c r="J19" s="1"/>
      <c r="K19" s="1"/>
      <c r="L19" s="1"/>
    </row>
    <row r="20" spans="1:12" ht="15.75" x14ac:dyDescent="0.25">
      <c r="A20" s="17">
        <v>19</v>
      </c>
      <c r="B20" s="6"/>
      <c r="C20" s="3">
        <f>1.1+0.25</f>
        <v>1.35</v>
      </c>
      <c r="D20" s="3"/>
      <c r="E20" s="3"/>
      <c r="F20" s="3"/>
      <c r="G20" s="3">
        <v>174.56</v>
      </c>
      <c r="H20" s="26" t="s">
        <v>40</v>
      </c>
      <c r="I20" s="34">
        <f t="shared" si="0"/>
        <v>175.91</v>
      </c>
      <c r="J20" s="1"/>
      <c r="K20" s="1"/>
      <c r="L20" s="1"/>
    </row>
    <row r="21" spans="1:12" ht="15.75" x14ac:dyDescent="0.25">
      <c r="A21" s="17">
        <v>20</v>
      </c>
      <c r="B21" s="6"/>
      <c r="C21" s="3">
        <f>0.45+8.35</f>
        <v>8.7999999999999989</v>
      </c>
      <c r="D21" s="3"/>
      <c r="E21" s="3"/>
      <c r="F21" s="3"/>
      <c r="G21" s="3"/>
      <c r="H21" s="26"/>
      <c r="I21" s="34">
        <f t="shared" si="0"/>
        <v>8.7999999999999989</v>
      </c>
      <c r="J21" s="1"/>
      <c r="K21" s="1"/>
      <c r="L21" s="1"/>
    </row>
    <row r="22" spans="1:12" ht="15.75" x14ac:dyDescent="0.25">
      <c r="A22" s="17">
        <v>21</v>
      </c>
      <c r="B22" s="6"/>
      <c r="C22" s="3">
        <f>0.45+0.25+4</f>
        <v>4.7</v>
      </c>
      <c r="D22" s="3"/>
      <c r="E22" s="3"/>
      <c r="F22" s="3">
        <v>2</v>
      </c>
      <c r="G22" s="3"/>
      <c r="H22" s="26"/>
      <c r="I22" s="34">
        <f t="shared" si="0"/>
        <v>6.7</v>
      </c>
      <c r="J22" s="1"/>
      <c r="K22" s="1"/>
      <c r="L22" s="1"/>
    </row>
    <row r="23" spans="1:12" ht="15.75" x14ac:dyDescent="0.25">
      <c r="A23" s="56">
        <v>22</v>
      </c>
      <c r="B23" s="6"/>
      <c r="C23" s="3"/>
      <c r="D23" s="3"/>
      <c r="E23" s="3"/>
      <c r="F23" s="3">
        <v>3</v>
      </c>
      <c r="G23" s="3"/>
      <c r="H23" s="26"/>
      <c r="I23" s="34">
        <f t="shared" si="0"/>
        <v>3</v>
      </c>
      <c r="J23" s="1"/>
      <c r="K23" s="1"/>
      <c r="L23" s="1"/>
    </row>
    <row r="24" spans="1:12" ht="15.75" x14ac:dyDescent="0.25">
      <c r="A24" s="56">
        <v>23</v>
      </c>
      <c r="B24" s="6"/>
      <c r="C24" s="3"/>
      <c r="D24" s="3"/>
      <c r="E24" s="3"/>
      <c r="F24" s="3"/>
      <c r="G24" s="3"/>
      <c r="H24" s="26"/>
      <c r="I24" s="34">
        <f t="shared" si="0"/>
        <v>0</v>
      </c>
      <c r="J24" s="1"/>
      <c r="K24" s="1"/>
      <c r="L24" s="1"/>
    </row>
    <row r="25" spans="1:12" ht="15.75" x14ac:dyDescent="0.25">
      <c r="A25" s="17">
        <v>24</v>
      </c>
      <c r="B25" s="6"/>
      <c r="C25" s="3">
        <v>0.7</v>
      </c>
      <c r="D25" s="3"/>
      <c r="E25" s="3"/>
      <c r="F25" s="3"/>
      <c r="G25" s="3"/>
      <c r="H25" s="26"/>
      <c r="I25" s="34">
        <f t="shared" si="0"/>
        <v>0.7</v>
      </c>
      <c r="J25" s="1"/>
      <c r="K25" s="1"/>
      <c r="L25" s="1"/>
    </row>
    <row r="26" spans="1:12" ht="15.75" x14ac:dyDescent="0.25">
      <c r="A26" s="17">
        <v>25</v>
      </c>
      <c r="B26" s="6"/>
      <c r="C26" s="3">
        <v>7.3</v>
      </c>
      <c r="D26" s="3"/>
      <c r="E26" s="3"/>
      <c r="F26" s="3">
        <f>45+12+5</f>
        <v>62</v>
      </c>
      <c r="G26" s="3"/>
      <c r="H26" s="26"/>
      <c r="I26" s="34">
        <f t="shared" si="0"/>
        <v>69.3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>
        <v>30</v>
      </c>
      <c r="E27" s="3"/>
      <c r="F27" s="3"/>
      <c r="G27" s="3"/>
      <c r="H27" s="26"/>
      <c r="I27" s="34">
        <f t="shared" si="0"/>
        <v>30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/>
      <c r="H28" s="26"/>
      <c r="I28" s="34">
        <f t="shared" si="0"/>
        <v>0</v>
      </c>
      <c r="J28" s="1"/>
      <c r="K28" s="1"/>
      <c r="L28" s="1"/>
    </row>
    <row r="29" spans="1:12" ht="15.75" x14ac:dyDescent="0.25">
      <c r="A29" s="17">
        <v>28</v>
      </c>
      <c r="B29" s="6"/>
      <c r="C29" s="3"/>
      <c r="D29" s="3"/>
      <c r="E29" s="3">
        <v>10</v>
      </c>
      <c r="F29" s="3">
        <v>3.7</v>
      </c>
      <c r="G29" s="3"/>
      <c r="H29" s="26"/>
      <c r="I29" s="34">
        <f t="shared" si="0"/>
        <v>13.7</v>
      </c>
      <c r="J29" s="1"/>
      <c r="K29" s="1"/>
      <c r="L29" s="1"/>
    </row>
    <row r="30" spans="1:12" ht="15.75" x14ac:dyDescent="0.25">
      <c r="A30" s="56">
        <v>29</v>
      </c>
      <c r="B30" s="6"/>
      <c r="C30" s="3"/>
      <c r="D30" s="3"/>
      <c r="E30" s="3"/>
      <c r="F30" s="3"/>
      <c r="G30" s="3">
        <v>15</v>
      </c>
      <c r="H30" s="26" t="s">
        <v>42</v>
      </c>
      <c r="I30" s="34">
        <f t="shared" si="0"/>
        <v>15</v>
      </c>
      <c r="J30" s="1"/>
      <c r="K30" s="1"/>
      <c r="L30" s="1"/>
    </row>
    <row r="31" spans="1:12" ht="15.75" x14ac:dyDescent="0.25">
      <c r="A31" s="64">
        <v>30</v>
      </c>
      <c r="B31" s="65"/>
      <c r="C31" s="66"/>
      <c r="D31" s="66"/>
      <c r="E31" s="66"/>
      <c r="F31" s="66"/>
      <c r="G31" s="66"/>
      <c r="H31" s="67"/>
      <c r="I31" s="34">
        <f t="shared" si="0"/>
        <v>0</v>
      </c>
      <c r="J31" s="1"/>
      <c r="K31" s="1"/>
      <c r="L31" s="1"/>
    </row>
    <row r="32" spans="1:12" ht="16.5" thickBot="1" x14ac:dyDescent="0.3">
      <c r="A32" s="68">
        <v>31</v>
      </c>
      <c r="B32" s="69"/>
      <c r="C32" s="70"/>
      <c r="D32" s="70"/>
      <c r="E32" s="70"/>
      <c r="F32" s="70"/>
      <c r="G32" s="70"/>
      <c r="H32" s="71"/>
      <c r="I32" s="34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107.24000000000001</v>
      </c>
      <c r="C33" s="29">
        <f>SUM(C2:C32)</f>
        <v>56.20000000000001</v>
      </c>
      <c r="D33" s="28">
        <f t="shared" ref="D33:H33" si="1">SUM(D2:D32)</f>
        <v>30</v>
      </c>
      <c r="E33" s="29">
        <f t="shared" si="1"/>
        <v>39.75</v>
      </c>
      <c r="F33" s="29">
        <f t="shared" si="1"/>
        <v>126.2</v>
      </c>
      <c r="G33" s="28">
        <f t="shared" si="1"/>
        <v>429.81</v>
      </c>
      <c r="H33" s="29">
        <f t="shared" si="1"/>
        <v>0</v>
      </c>
      <c r="I33" s="33">
        <f>SUM(I2:I32)</f>
        <v>789.2</v>
      </c>
    </row>
  </sheetData>
  <conditionalFormatting sqref="L16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3"/>
  <sheetViews>
    <sheetView topLeftCell="A10" workbookViewId="0">
      <selection activeCell="K18" sqref="K18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8" t="s">
        <v>27</v>
      </c>
    </row>
    <row r="2" spans="1:13" ht="16.5" thickBot="1" x14ac:dyDescent="0.3">
      <c r="A2" s="63">
        <v>1</v>
      </c>
      <c r="B2" s="59"/>
      <c r="C2" s="57"/>
      <c r="D2" s="5"/>
      <c r="E2" s="4"/>
      <c r="F2" s="4"/>
      <c r="G2" s="4"/>
      <c r="H2" s="25"/>
      <c r="I2" s="34">
        <f>SUM(B2:H2)</f>
        <v>0</v>
      </c>
      <c r="J2" s="1"/>
      <c r="K2" s="96">
        <v>217</v>
      </c>
      <c r="L2" s="16">
        <v>45</v>
      </c>
    </row>
    <row r="3" spans="1:13" ht="15.75" x14ac:dyDescent="0.25">
      <c r="A3" s="17">
        <v>2</v>
      </c>
      <c r="B3" s="6"/>
      <c r="C3" s="4"/>
      <c r="D3" s="3">
        <v>20</v>
      </c>
      <c r="E3" s="3">
        <v>10</v>
      </c>
      <c r="F3" s="3"/>
      <c r="G3" s="3"/>
      <c r="H3" s="26"/>
      <c r="I3" s="34">
        <f t="shared" ref="I3:I32" si="0">SUM(B3:H3)</f>
        <v>30</v>
      </c>
      <c r="J3" s="91"/>
      <c r="K3" s="92"/>
      <c r="L3" s="93"/>
      <c r="M3" s="81"/>
    </row>
    <row r="4" spans="1:13" ht="15.75" x14ac:dyDescent="0.25">
      <c r="A4" s="17">
        <v>3</v>
      </c>
      <c r="B4" s="6"/>
      <c r="C4" s="3">
        <v>0.6</v>
      </c>
      <c r="D4" s="3"/>
      <c r="E4" s="3"/>
      <c r="F4" s="3"/>
      <c r="G4" s="3">
        <v>40.799999999999997</v>
      </c>
      <c r="H4" s="26" t="s">
        <v>43</v>
      </c>
      <c r="I4" s="34">
        <f t="shared" si="0"/>
        <v>41.4</v>
      </c>
      <c r="J4" s="1"/>
      <c r="K4" s="2"/>
      <c r="L4" s="1"/>
    </row>
    <row r="5" spans="1:13" ht="15.75" x14ac:dyDescent="0.25">
      <c r="A5" s="17">
        <v>4</v>
      </c>
      <c r="B5" s="6"/>
      <c r="C5" s="3">
        <v>1.3</v>
      </c>
      <c r="D5" s="3"/>
      <c r="E5" s="3"/>
      <c r="F5" s="3"/>
      <c r="G5" s="3"/>
      <c r="H5" s="26"/>
      <c r="I5" s="34">
        <f t="shared" si="0"/>
        <v>1.3</v>
      </c>
      <c r="J5" s="1"/>
      <c r="K5" s="2"/>
      <c r="L5" s="1"/>
    </row>
    <row r="6" spans="1:13" ht="15.75" x14ac:dyDescent="0.25">
      <c r="A6" s="17">
        <v>5</v>
      </c>
      <c r="B6" s="6">
        <v>3.6</v>
      </c>
      <c r="C6" s="3">
        <v>0.45</v>
      </c>
      <c r="D6" s="3"/>
      <c r="E6" s="3"/>
      <c r="F6" s="3"/>
      <c r="G6" s="3"/>
      <c r="H6" s="26"/>
      <c r="I6" s="34">
        <f t="shared" si="0"/>
        <v>4.05</v>
      </c>
      <c r="J6" s="1"/>
      <c r="K6" s="2"/>
      <c r="L6" s="1"/>
    </row>
    <row r="7" spans="1:13" ht="15.75" x14ac:dyDescent="0.25">
      <c r="A7" s="17">
        <v>6</v>
      </c>
      <c r="B7" s="6"/>
      <c r="C7" s="3">
        <f>0.6+8.2</f>
        <v>8.7999999999999989</v>
      </c>
      <c r="D7" s="3"/>
      <c r="E7" s="3"/>
      <c r="F7" s="3">
        <v>2</v>
      </c>
      <c r="G7" s="3"/>
      <c r="H7" s="26"/>
      <c r="I7" s="34">
        <f t="shared" si="0"/>
        <v>10.799999999999999</v>
      </c>
      <c r="J7" s="1"/>
      <c r="K7" s="2"/>
      <c r="L7" s="1"/>
    </row>
    <row r="8" spans="1:13" ht="15.75" x14ac:dyDescent="0.25">
      <c r="A8" s="56">
        <v>7</v>
      </c>
      <c r="B8" s="6">
        <v>35</v>
      </c>
      <c r="C8" s="3"/>
      <c r="D8" s="3"/>
      <c r="E8" s="3"/>
      <c r="F8" s="3"/>
      <c r="G8" s="3">
        <v>27.5</v>
      </c>
      <c r="H8" s="26" t="s">
        <v>44</v>
      </c>
      <c r="I8" s="34">
        <f t="shared" si="0"/>
        <v>62.5</v>
      </c>
      <c r="J8" s="1"/>
      <c r="K8" s="2"/>
      <c r="L8" s="1"/>
    </row>
    <row r="9" spans="1:13" ht="15.75" x14ac:dyDescent="0.25">
      <c r="A9" s="56">
        <v>8</v>
      </c>
      <c r="B9" s="6"/>
      <c r="C9" s="3"/>
      <c r="D9" s="3"/>
      <c r="E9" s="3"/>
      <c r="F9" s="3"/>
      <c r="G9" s="3"/>
      <c r="H9" s="26"/>
      <c r="I9" s="34">
        <f t="shared" si="0"/>
        <v>0</v>
      </c>
      <c r="J9" s="1"/>
      <c r="K9" s="2"/>
      <c r="L9" s="1"/>
    </row>
    <row r="10" spans="1:13" ht="15.75" x14ac:dyDescent="0.25">
      <c r="A10" s="17">
        <v>9</v>
      </c>
      <c r="B10" s="6">
        <v>2</v>
      </c>
      <c r="C10" s="3">
        <f>0.25+0.45+0.3</f>
        <v>1</v>
      </c>
      <c r="D10" s="3"/>
      <c r="E10" s="3"/>
      <c r="F10" s="3"/>
      <c r="G10" s="3"/>
      <c r="H10" s="26"/>
      <c r="I10" s="34">
        <f t="shared" si="0"/>
        <v>3</v>
      </c>
      <c r="J10" s="1"/>
      <c r="K10" s="2"/>
      <c r="L10" s="1"/>
    </row>
    <row r="11" spans="1:13" ht="15.75" x14ac:dyDescent="0.25">
      <c r="A11" s="17">
        <v>10</v>
      </c>
      <c r="B11" s="6"/>
      <c r="C11" s="3">
        <v>1</v>
      </c>
      <c r="D11" s="3"/>
      <c r="E11" s="3"/>
      <c r="F11" s="3"/>
      <c r="G11" s="3"/>
      <c r="H11" s="26"/>
      <c r="I11" s="34">
        <f t="shared" si="0"/>
        <v>1</v>
      </c>
      <c r="J11" s="1"/>
      <c r="K11" s="2"/>
      <c r="L11" s="1"/>
    </row>
    <row r="12" spans="1:13" ht="16.5" thickBot="1" x14ac:dyDescent="0.3">
      <c r="A12" s="17">
        <v>11</v>
      </c>
      <c r="B12" s="6"/>
      <c r="C12" s="3">
        <f>0.25+0.45+1.1</f>
        <v>1.8</v>
      </c>
      <c r="D12" s="3">
        <v>30</v>
      </c>
      <c r="E12" s="3"/>
      <c r="F12" s="3"/>
      <c r="G12" s="3">
        <v>12.3</v>
      </c>
      <c r="H12" s="26" t="s">
        <v>45</v>
      </c>
      <c r="I12" s="34">
        <f t="shared" si="0"/>
        <v>44.1</v>
      </c>
      <c r="J12" s="1"/>
      <c r="K12" s="2"/>
      <c r="L12" s="1"/>
    </row>
    <row r="13" spans="1:13" ht="16.5" thickBot="1" x14ac:dyDescent="0.3">
      <c r="A13" s="17">
        <v>12</v>
      </c>
      <c r="B13" s="6">
        <v>7.5</v>
      </c>
      <c r="C13" s="3">
        <v>0.45</v>
      </c>
      <c r="D13" s="3"/>
      <c r="E13" s="3"/>
      <c r="F13" s="3"/>
      <c r="G13" s="3"/>
      <c r="H13" s="26"/>
      <c r="I13" s="34">
        <f t="shared" si="0"/>
        <v>7.95</v>
      </c>
      <c r="J13" s="1"/>
      <c r="K13" s="10" t="s">
        <v>6</v>
      </c>
      <c r="L13" s="21">
        <v>917.5</v>
      </c>
      <c r="M13" s="82"/>
    </row>
    <row r="14" spans="1:13" ht="15.75" x14ac:dyDescent="0.25">
      <c r="A14" s="17">
        <v>13</v>
      </c>
      <c r="B14" s="6"/>
      <c r="C14" s="3">
        <v>0.45</v>
      </c>
      <c r="D14" s="3"/>
      <c r="E14" s="3"/>
      <c r="F14" s="3"/>
      <c r="G14" s="3"/>
      <c r="H14" s="26"/>
      <c r="I14" s="34">
        <f t="shared" si="0"/>
        <v>0.45</v>
      </c>
      <c r="J14" s="1"/>
      <c r="K14" s="15" t="s">
        <v>7</v>
      </c>
      <c r="L14" s="20">
        <f>SUM(B33:H33)+K2+L2</f>
        <v>697.24</v>
      </c>
      <c r="M14" s="89">
        <f>L14*100/L13/100</f>
        <v>0.75993460490463216</v>
      </c>
    </row>
    <row r="15" spans="1:13" ht="15.75" x14ac:dyDescent="0.25">
      <c r="A15" s="56">
        <v>14</v>
      </c>
      <c r="B15" s="6">
        <v>9</v>
      </c>
      <c r="C15" s="3"/>
      <c r="D15" s="3"/>
      <c r="E15" s="3"/>
      <c r="F15" s="3"/>
      <c r="G15" s="3">
        <v>12</v>
      </c>
      <c r="H15" s="26" t="s">
        <v>46</v>
      </c>
      <c r="I15" s="34">
        <f t="shared" si="0"/>
        <v>21</v>
      </c>
      <c r="J15" s="1"/>
      <c r="K15" s="13"/>
      <c r="L15" s="12"/>
      <c r="M15" s="88"/>
    </row>
    <row r="16" spans="1:13" ht="16.5" thickBot="1" x14ac:dyDescent="0.3">
      <c r="A16" s="56">
        <v>15</v>
      </c>
      <c r="B16" s="6">
        <f>97.8-G16</f>
        <v>69.709999999999994</v>
      </c>
      <c r="C16" s="6"/>
      <c r="D16" s="3"/>
      <c r="E16" s="3"/>
      <c r="F16" s="3"/>
      <c r="G16" s="3">
        <f>(3.76+3.24+2+0.33+0.59+2.47+3.77)+(1.99+0.97+3.99+3.49+1.49)</f>
        <v>28.090000000000003</v>
      </c>
      <c r="H16" s="26"/>
      <c r="I16" s="34">
        <f t="shared" si="0"/>
        <v>97.8</v>
      </c>
      <c r="J16" s="1"/>
      <c r="K16" s="14" t="s">
        <v>8</v>
      </c>
      <c r="L16" s="11">
        <f>L13-L14</f>
        <v>220.26</v>
      </c>
      <c r="M16" s="90">
        <f>(L16*100/L13)/100</f>
        <v>0.24006539509536787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/>
      <c r="H17" s="26"/>
      <c r="I17" s="34">
        <f t="shared" si="0"/>
        <v>0</v>
      </c>
      <c r="J17" s="1"/>
      <c r="K17" s="1"/>
      <c r="L17" s="1"/>
    </row>
    <row r="18" spans="1:12" ht="15.75" x14ac:dyDescent="0.25">
      <c r="A18" s="17">
        <v>17</v>
      </c>
      <c r="B18" s="6"/>
      <c r="C18" s="3"/>
      <c r="D18" s="3"/>
      <c r="E18" s="3"/>
      <c r="F18" s="3"/>
      <c r="G18" s="3"/>
      <c r="H18" s="26"/>
      <c r="I18" s="34">
        <f t="shared" si="0"/>
        <v>0</v>
      </c>
      <c r="J18" s="1"/>
      <c r="K18" s="1"/>
      <c r="L18" s="1"/>
    </row>
    <row r="19" spans="1:12" ht="15.75" x14ac:dyDescent="0.25">
      <c r="A19" s="17">
        <v>18</v>
      </c>
      <c r="B19" s="6"/>
      <c r="C19" s="3"/>
      <c r="D19" s="3"/>
      <c r="E19" s="3"/>
      <c r="F19" s="3"/>
      <c r="G19" s="26"/>
      <c r="H19" s="26"/>
      <c r="I19" s="34">
        <f t="shared" si="0"/>
        <v>0</v>
      </c>
      <c r="J19" s="1"/>
      <c r="K19" s="1"/>
      <c r="L19" s="1"/>
    </row>
    <row r="20" spans="1:12" ht="15.75" x14ac:dyDescent="0.25">
      <c r="A20" s="17">
        <v>19</v>
      </c>
      <c r="B20" s="6"/>
      <c r="C20" s="3"/>
      <c r="D20" s="3"/>
      <c r="E20" s="3"/>
      <c r="F20" s="3"/>
      <c r="G20" s="3">
        <v>32.380000000000003</v>
      </c>
      <c r="H20" s="26" t="s">
        <v>47</v>
      </c>
      <c r="I20" s="34">
        <f t="shared" si="0"/>
        <v>32.380000000000003</v>
      </c>
      <c r="J20" s="1"/>
      <c r="K20" s="1"/>
      <c r="L20" s="1"/>
    </row>
    <row r="21" spans="1:12" ht="15.75" x14ac:dyDescent="0.25">
      <c r="A21" s="17">
        <v>20</v>
      </c>
      <c r="B21" s="6"/>
      <c r="C21" s="3"/>
      <c r="D21" s="3"/>
      <c r="E21" s="3"/>
      <c r="F21" s="3"/>
      <c r="G21" s="3">
        <v>45</v>
      </c>
      <c r="H21" s="26" t="s">
        <v>37</v>
      </c>
      <c r="I21" s="34">
        <f t="shared" si="0"/>
        <v>45</v>
      </c>
      <c r="J21" s="1"/>
      <c r="K21" s="1"/>
      <c r="L21" s="1"/>
    </row>
    <row r="22" spans="1:12" ht="15.75" x14ac:dyDescent="0.25">
      <c r="A22" s="56">
        <v>21</v>
      </c>
      <c r="B22" s="6"/>
      <c r="C22" s="3"/>
      <c r="D22" s="3"/>
      <c r="E22" s="3"/>
      <c r="F22" s="3"/>
      <c r="G22" s="3"/>
      <c r="H22" s="26"/>
      <c r="I22" s="34">
        <f t="shared" si="0"/>
        <v>0</v>
      </c>
      <c r="J22" s="1"/>
      <c r="K22" s="1"/>
      <c r="L22" s="1"/>
    </row>
    <row r="23" spans="1:12" ht="15.75" x14ac:dyDescent="0.25">
      <c r="A23" s="56">
        <v>22</v>
      </c>
      <c r="B23" s="6">
        <v>20.77</v>
      </c>
      <c r="C23" s="3"/>
      <c r="D23" s="3"/>
      <c r="E23" s="3"/>
      <c r="F23" s="3"/>
      <c r="G23" s="3">
        <v>1.74</v>
      </c>
      <c r="H23" s="26"/>
      <c r="I23" s="34">
        <f t="shared" si="0"/>
        <v>22.509999999999998</v>
      </c>
      <c r="J23" s="1"/>
      <c r="K23" s="1"/>
      <c r="L23" s="1"/>
    </row>
    <row r="24" spans="1:12" ht="15.75" x14ac:dyDescent="0.25">
      <c r="A24" s="17">
        <v>23</v>
      </c>
      <c r="B24" s="6"/>
      <c r="C24" s="3"/>
      <c r="D24" s="3"/>
      <c r="E24" s="3"/>
      <c r="F24" s="3"/>
      <c r="G24" s="3"/>
      <c r="H24" s="26"/>
      <c r="I24" s="34">
        <f t="shared" si="0"/>
        <v>0</v>
      </c>
      <c r="J24" s="1"/>
      <c r="K24" s="1"/>
      <c r="L24" s="1"/>
    </row>
    <row r="25" spans="1:12" ht="15.75" x14ac:dyDescent="0.25">
      <c r="A25" s="17">
        <v>24</v>
      </c>
      <c r="B25" s="3"/>
      <c r="C25" s="3"/>
      <c r="D25" s="3"/>
      <c r="E25" s="3"/>
      <c r="F25" s="3"/>
      <c r="G25" s="3"/>
      <c r="H25" s="26"/>
      <c r="I25" s="34">
        <f t="shared" si="0"/>
        <v>0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/>
      <c r="F26" s="3"/>
      <c r="G26" s="3"/>
      <c r="H26" s="26"/>
      <c r="I26" s="34">
        <f t="shared" si="0"/>
        <v>0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/>
      <c r="F27" s="3"/>
      <c r="G27" s="3"/>
      <c r="H27" s="26"/>
      <c r="I27" s="34">
        <f t="shared" si="0"/>
        <v>0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/>
      <c r="H28" s="26"/>
      <c r="I28" s="34">
        <f t="shared" si="0"/>
        <v>0</v>
      </c>
      <c r="J28" s="1"/>
      <c r="K28" s="1"/>
      <c r="L28" s="1"/>
    </row>
    <row r="29" spans="1:12" ht="15.75" x14ac:dyDescent="0.25">
      <c r="A29" s="56">
        <v>28</v>
      </c>
      <c r="B29" s="6"/>
      <c r="C29" s="3"/>
      <c r="D29" s="3"/>
      <c r="E29" s="3">
        <v>10</v>
      </c>
      <c r="F29" s="3"/>
      <c r="G29" s="3"/>
      <c r="H29" s="26"/>
      <c r="I29" s="34">
        <f t="shared" si="0"/>
        <v>10</v>
      </c>
      <c r="J29" s="1"/>
      <c r="K29" s="1"/>
      <c r="L29" s="1"/>
    </row>
    <row r="30" spans="1:12" ht="15.75" x14ac:dyDescent="0.25">
      <c r="A30" s="56">
        <v>29</v>
      </c>
      <c r="B30" s="6"/>
      <c r="C30" s="3"/>
      <c r="D30" s="3"/>
      <c r="E30" s="3"/>
      <c r="F30" s="3"/>
      <c r="G30" s="3"/>
      <c r="H30" s="26"/>
      <c r="I30" s="34">
        <f t="shared" si="0"/>
        <v>0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/>
      <c r="H31" s="26"/>
      <c r="I31" s="34">
        <f t="shared" si="0"/>
        <v>0</v>
      </c>
      <c r="J31" s="1"/>
      <c r="K31" s="1"/>
      <c r="L31" s="1"/>
    </row>
    <row r="32" spans="1:12" ht="16.5" thickBot="1" x14ac:dyDescent="0.3">
      <c r="A32" s="19">
        <v>31</v>
      </c>
      <c r="B32" s="7"/>
      <c r="C32" s="8"/>
      <c r="D32" s="8"/>
      <c r="E32" s="8"/>
      <c r="F32" s="8"/>
      <c r="G32" s="8"/>
      <c r="H32" s="27"/>
      <c r="I32" s="34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147.58000000000001</v>
      </c>
      <c r="C33" s="29">
        <f>SUM(C2:C32)</f>
        <v>15.849999999999998</v>
      </c>
      <c r="D33" s="28">
        <f t="shared" ref="D33:H33" si="1">SUM(D2:D32)</f>
        <v>50</v>
      </c>
      <c r="E33" s="29">
        <f t="shared" si="1"/>
        <v>20</v>
      </c>
      <c r="F33" s="29">
        <f t="shared" si="1"/>
        <v>2</v>
      </c>
      <c r="G33" s="28">
        <f t="shared" si="1"/>
        <v>199.81</v>
      </c>
      <c r="H33" s="29">
        <f t="shared" si="1"/>
        <v>0</v>
      </c>
      <c r="I33" s="33">
        <f>SUM(I2:I32)</f>
        <v>435.23999999999995</v>
      </c>
    </row>
  </sheetData>
  <conditionalFormatting sqref="L16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3"/>
  <sheetViews>
    <sheetView workbookViewId="0">
      <selection activeCell="K10" sqref="K10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8" t="s">
        <v>27</v>
      </c>
    </row>
    <row r="2" spans="1:13" ht="16.5" thickBot="1" x14ac:dyDescent="0.3">
      <c r="A2" s="18">
        <v>1</v>
      </c>
      <c r="B2" s="59"/>
      <c r="C2" s="57"/>
      <c r="D2" s="5"/>
      <c r="E2" s="4"/>
      <c r="F2" s="4"/>
      <c r="G2" s="4"/>
      <c r="H2" s="25"/>
      <c r="I2" s="34">
        <f>SUM(B2:H2)</f>
        <v>0</v>
      </c>
      <c r="J2" s="1"/>
      <c r="K2" s="96">
        <v>217</v>
      </c>
      <c r="L2" s="16">
        <v>26</v>
      </c>
    </row>
    <row r="3" spans="1:13" ht="15.75" x14ac:dyDescent="0.25">
      <c r="A3" s="17">
        <v>2</v>
      </c>
      <c r="B3" s="6"/>
      <c r="C3" s="4"/>
      <c r="D3" s="3"/>
      <c r="E3" s="3"/>
      <c r="F3" s="3"/>
      <c r="G3" s="3"/>
      <c r="H3" s="26"/>
      <c r="I3" s="34">
        <f t="shared" ref="I3:I32" si="0">SUM(B3:H3)</f>
        <v>0</v>
      </c>
      <c r="J3" s="91"/>
      <c r="K3" s="92"/>
      <c r="L3" s="93"/>
      <c r="M3" s="81"/>
    </row>
    <row r="4" spans="1:13" ht="15.75" x14ac:dyDescent="0.25">
      <c r="A4" s="17">
        <v>3</v>
      </c>
      <c r="B4" s="6"/>
      <c r="C4" s="3"/>
      <c r="D4" s="3"/>
      <c r="E4" s="3"/>
      <c r="F4" s="3"/>
      <c r="G4" s="3"/>
      <c r="H4" s="26"/>
      <c r="I4" s="34">
        <f t="shared" si="0"/>
        <v>0</v>
      </c>
      <c r="J4" s="1"/>
      <c r="K4" s="2"/>
      <c r="L4" s="1"/>
    </row>
    <row r="5" spans="1:13" ht="15.75" x14ac:dyDescent="0.25">
      <c r="A5" s="56">
        <v>4</v>
      </c>
      <c r="B5" s="6"/>
      <c r="C5" s="3"/>
      <c r="D5" s="3"/>
      <c r="E5" s="3"/>
      <c r="F5" s="3"/>
      <c r="G5" s="3"/>
      <c r="H5" s="26"/>
      <c r="I5" s="34">
        <f t="shared" si="0"/>
        <v>0</v>
      </c>
      <c r="J5" s="1"/>
      <c r="K5" s="2"/>
      <c r="L5" s="1"/>
    </row>
    <row r="6" spans="1:13" ht="15.75" x14ac:dyDescent="0.25">
      <c r="A6" s="56">
        <v>5</v>
      </c>
      <c r="B6" s="6"/>
      <c r="C6" s="3"/>
      <c r="D6" s="3"/>
      <c r="E6" s="3"/>
      <c r="F6" s="3"/>
      <c r="G6" s="3"/>
      <c r="H6" s="26"/>
      <c r="I6" s="34">
        <f t="shared" si="0"/>
        <v>0</v>
      </c>
      <c r="J6" s="1"/>
      <c r="K6" s="2"/>
      <c r="L6" s="1"/>
    </row>
    <row r="7" spans="1:13" ht="15.75" x14ac:dyDescent="0.25">
      <c r="A7" s="17">
        <v>6</v>
      </c>
      <c r="B7" s="6"/>
      <c r="C7" s="3"/>
      <c r="D7" s="3"/>
      <c r="E7" s="3"/>
      <c r="F7" s="3"/>
      <c r="G7" s="3"/>
      <c r="H7" s="26"/>
      <c r="I7" s="34">
        <f t="shared" si="0"/>
        <v>0</v>
      </c>
      <c r="J7" s="1"/>
      <c r="K7" s="2"/>
      <c r="L7" s="1"/>
    </row>
    <row r="8" spans="1:13" ht="15.75" x14ac:dyDescent="0.25">
      <c r="A8" s="17">
        <v>7</v>
      </c>
      <c r="B8" s="6"/>
      <c r="C8" s="3"/>
      <c r="D8" s="3"/>
      <c r="E8" s="3"/>
      <c r="F8" s="3"/>
      <c r="G8" s="3"/>
      <c r="H8" s="26"/>
      <c r="I8" s="34">
        <f t="shared" si="0"/>
        <v>0</v>
      </c>
      <c r="J8" s="1"/>
      <c r="K8" s="2"/>
      <c r="L8" s="1"/>
    </row>
    <row r="9" spans="1:13" ht="15.75" x14ac:dyDescent="0.25">
      <c r="A9" s="17">
        <v>8</v>
      </c>
      <c r="B9" s="6"/>
      <c r="C9" s="3"/>
      <c r="D9" s="3"/>
      <c r="E9" s="3"/>
      <c r="F9" s="3"/>
      <c r="G9" s="3">
        <v>-1000</v>
      </c>
      <c r="H9" s="26" t="s">
        <v>49</v>
      </c>
      <c r="I9" s="34">
        <f t="shared" si="0"/>
        <v>-1000</v>
      </c>
      <c r="J9" s="1"/>
      <c r="K9" s="2"/>
      <c r="L9" s="1"/>
    </row>
    <row r="10" spans="1:13" ht="15.75" x14ac:dyDescent="0.25">
      <c r="A10" s="17">
        <v>9</v>
      </c>
      <c r="B10" s="6"/>
      <c r="C10" s="3"/>
      <c r="D10" s="3"/>
      <c r="E10" s="3"/>
      <c r="F10" s="3"/>
      <c r="G10" s="3"/>
      <c r="H10" s="26"/>
      <c r="I10" s="34">
        <f t="shared" si="0"/>
        <v>0</v>
      </c>
      <c r="J10" s="1"/>
      <c r="K10" s="2"/>
      <c r="L10" s="1"/>
    </row>
    <row r="11" spans="1:13" ht="15.75" x14ac:dyDescent="0.25">
      <c r="A11" s="17">
        <v>10</v>
      </c>
      <c r="B11" s="6"/>
      <c r="C11" s="3"/>
      <c r="D11" s="3"/>
      <c r="E11" s="3"/>
      <c r="F11" s="3"/>
      <c r="G11" s="3"/>
      <c r="H11" s="26"/>
      <c r="I11" s="34">
        <f t="shared" si="0"/>
        <v>0</v>
      </c>
      <c r="J11" s="1"/>
      <c r="K11" s="2"/>
      <c r="L11" s="1"/>
    </row>
    <row r="12" spans="1:13" ht="16.5" thickBot="1" x14ac:dyDescent="0.3">
      <c r="A12" s="56">
        <v>11</v>
      </c>
      <c r="B12" s="6"/>
      <c r="C12" s="3"/>
      <c r="D12" s="3"/>
      <c r="E12" s="3"/>
      <c r="F12" s="3"/>
      <c r="G12" s="3"/>
      <c r="H12" s="26"/>
      <c r="I12" s="34">
        <f t="shared" si="0"/>
        <v>0</v>
      </c>
      <c r="J12" s="1"/>
      <c r="K12" s="2"/>
      <c r="L12" s="1"/>
    </row>
    <row r="13" spans="1:13" ht="16.5" thickBot="1" x14ac:dyDescent="0.3">
      <c r="A13" s="56">
        <v>12</v>
      </c>
      <c r="B13" s="6"/>
      <c r="C13" s="3"/>
      <c r="D13" s="3"/>
      <c r="E13" s="3"/>
      <c r="F13" s="3"/>
      <c r="G13" s="3"/>
      <c r="H13" s="26"/>
      <c r="I13" s="34">
        <f t="shared" si="0"/>
        <v>0</v>
      </c>
      <c r="J13" s="1"/>
      <c r="K13" s="10" t="s">
        <v>6</v>
      </c>
      <c r="L13" s="21">
        <f>1266+262</f>
        <v>1528</v>
      </c>
      <c r="M13" s="82"/>
    </row>
    <row r="14" spans="1:13" ht="15.75" x14ac:dyDescent="0.25">
      <c r="A14" s="17">
        <v>13</v>
      </c>
      <c r="B14" s="6"/>
      <c r="C14" s="3"/>
      <c r="D14" s="3">
        <v>30</v>
      </c>
      <c r="E14" s="3">
        <v>10</v>
      </c>
      <c r="F14" s="3"/>
      <c r="G14" s="3"/>
      <c r="H14" s="26"/>
      <c r="I14" s="34">
        <f t="shared" si="0"/>
        <v>40</v>
      </c>
      <c r="J14" s="1"/>
      <c r="K14" s="15" t="s">
        <v>7</v>
      </c>
      <c r="L14" s="20">
        <f>SUM(B33:H33)+K2+L2</f>
        <v>446.4</v>
      </c>
      <c r="M14" s="89">
        <f>L14*100/L13/100</f>
        <v>0.29214659685863875</v>
      </c>
    </row>
    <row r="15" spans="1:13" ht="15.75" x14ac:dyDescent="0.25">
      <c r="A15" s="17">
        <v>14</v>
      </c>
      <c r="B15" s="6">
        <v>17.5</v>
      </c>
      <c r="C15" s="3"/>
      <c r="D15" s="3"/>
      <c r="E15" s="3"/>
      <c r="F15" s="3"/>
      <c r="G15" s="3"/>
      <c r="H15" s="26" t="s">
        <v>51</v>
      </c>
      <c r="I15" s="34">
        <f t="shared" si="0"/>
        <v>17.5</v>
      </c>
      <c r="J15" s="1"/>
      <c r="K15" s="13"/>
      <c r="L15" s="12"/>
      <c r="M15" s="88"/>
    </row>
    <row r="16" spans="1:13" ht="16.5" thickBot="1" x14ac:dyDescent="0.3">
      <c r="A16" s="17">
        <v>15</v>
      </c>
      <c r="B16" s="6"/>
      <c r="C16" s="3"/>
      <c r="D16" s="3"/>
      <c r="E16" s="3"/>
      <c r="F16" s="3"/>
      <c r="G16" s="3">
        <v>17</v>
      </c>
      <c r="H16" s="26" t="s">
        <v>48</v>
      </c>
      <c r="I16" s="34">
        <f t="shared" si="0"/>
        <v>17</v>
      </c>
      <c r="J16" s="1"/>
      <c r="K16" s="14" t="s">
        <v>8</v>
      </c>
      <c r="L16" s="11">
        <f>L13-L14</f>
        <v>1081.5999999999999</v>
      </c>
      <c r="M16" s="90">
        <f>(L16*100/L13)/100</f>
        <v>0.70785340314136125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/>
      <c r="H17" s="26"/>
      <c r="I17" s="34">
        <f t="shared" si="0"/>
        <v>0</v>
      </c>
      <c r="J17" s="1"/>
      <c r="K17" s="1"/>
      <c r="L17" s="1"/>
    </row>
    <row r="18" spans="1:12" ht="15.75" x14ac:dyDescent="0.25">
      <c r="A18" s="17">
        <v>17</v>
      </c>
      <c r="B18" s="6"/>
      <c r="C18" s="3"/>
      <c r="D18" s="3"/>
      <c r="E18" s="3"/>
      <c r="F18" s="3"/>
      <c r="G18" s="3">
        <v>999</v>
      </c>
      <c r="H18" s="26" t="s">
        <v>50</v>
      </c>
      <c r="I18" s="34">
        <f t="shared" si="0"/>
        <v>999</v>
      </c>
      <c r="J18" s="1"/>
      <c r="K18" s="1"/>
      <c r="L18" s="1"/>
    </row>
    <row r="19" spans="1:12" ht="15.75" x14ac:dyDescent="0.25">
      <c r="A19" s="56">
        <v>18</v>
      </c>
      <c r="B19" s="6"/>
      <c r="C19" s="3">
        <f>8.2+9.3</f>
        <v>17.5</v>
      </c>
      <c r="D19" s="3"/>
      <c r="E19" s="3"/>
      <c r="F19" s="3"/>
      <c r="G19" s="3"/>
      <c r="H19" s="26" t="s">
        <v>53</v>
      </c>
      <c r="I19" s="34">
        <f t="shared" si="0"/>
        <v>17.5</v>
      </c>
      <c r="J19" s="1"/>
      <c r="K19" s="1"/>
      <c r="L19" s="1"/>
    </row>
    <row r="20" spans="1:12" ht="15.75" x14ac:dyDescent="0.25">
      <c r="A20" s="56">
        <v>19</v>
      </c>
      <c r="B20" s="6"/>
      <c r="C20" s="3"/>
      <c r="D20" s="3"/>
      <c r="E20" s="3"/>
      <c r="F20" s="3"/>
      <c r="G20" s="3"/>
      <c r="H20" s="26"/>
      <c r="I20" s="34">
        <f t="shared" si="0"/>
        <v>0</v>
      </c>
      <c r="J20" s="1"/>
      <c r="K20" s="1"/>
      <c r="L20" s="1"/>
    </row>
    <row r="21" spans="1:12" ht="15.75" x14ac:dyDescent="0.25">
      <c r="A21" s="17">
        <v>20</v>
      </c>
      <c r="B21" s="6"/>
      <c r="C21" s="3"/>
      <c r="D21" s="3"/>
      <c r="E21" s="3"/>
      <c r="F21" s="3"/>
      <c r="G21" s="3">
        <v>5</v>
      </c>
      <c r="H21" s="26" t="s">
        <v>52</v>
      </c>
      <c r="I21" s="34">
        <f t="shared" si="0"/>
        <v>5</v>
      </c>
      <c r="J21" s="1"/>
      <c r="K21" s="1"/>
      <c r="L21" s="1"/>
    </row>
    <row r="22" spans="1:12" ht="15.75" x14ac:dyDescent="0.25">
      <c r="A22" s="17">
        <v>21</v>
      </c>
      <c r="B22" s="6"/>
      <c r="C22" s="3"/>
      <c r="D22" s="3"/>
      <c r="E22" s="3"/>
      <c r="F22" s="3"/>
      <c r="G22" s="3"/>
      <c r="H22" s="26"/>
      <c r="I22" s="34">
        <f t="shared" si="0"/>
        <v>0</v>
      </c>
      <c r="J22" s="1"/>
      <c r="K22" s="1"/>
      <c r="L22" s="1"/>
    </row>
    <row r="23" spans="1:12" ht="15.75" x14ac:dyDescent="0.25">
      <c r="A23" s="17">
        <v>22</v>
      </c>
      <c r="B23" s="6"/>
      <c r="C23" s="3"/>
      <c r="D23" s="3"/>
      <c r="E23" s="3"/>
      <c r="F23" s="3"/>
      <c r="G23" s="3"/>
      <c r="H23" s="26"/>
      <c r="I23" s="34">
        <f t="shared" si="0"/>
        <v>0</v>
      </c>
      <c r="J23" s="1"/>
      <c r="K23" s="1"/>
      <c r="L23" s="1"/>
    </row>
    <row r="24" spans="1:12" ht="15.75" x14ac:dyDescent="0.25">
      <c r="A24" s="17">
        <v>23</v>
      </c>
      <c r="B24" s="6">
        <v>70</v>
      </c>
      <c r="C24" s="3"/>
      <c r="D24" s="3"/>
      <c r="E24" s="3"/>
      <c r="F24" s="3"/>
      <c r="G24" s="3"/>
      <c r="H24" s="26" t="s">
        <v>54</v>
      </c>
      <c r="I24" s="34">
        <f t="shared" si="0"/>
        <v>70</v>
      </c>
      <c r="J24" s="1"/>
      <c r="K24" s="1"/>
      <c r="L24" s="1"/>
    </row>
    <row r="25" spans="1:12" ht="15.75" x14ac:dyDescent="0.25">
      <c r="A25" s="17">
        <v>24</v>
      </c>
      <c r="B25" s="6"/>
      <c r="C25" s="3"/>
      <c r="D25" s="3"/>
      <c r="E25" s="3"/>
      <c r="F25" s="3"/>
      <c r="G25" s="3"/>
      <c r="H25" s="26"/>
      <c r="I25" s="34">
        <f t="shared" si="0"/>
        <v>0</v>
      </c>
      <c r="J25" s="1"/>
      <c r="K25" s="1"/>
      <c r="L25" s="1"/>
    </row>
    <row r="26" spans="1:12" ht="15.75" x14ac:dyDescent="0.25">
      <c r="A26" s="56">
        <v>25</v>
      </c>
      <c r="B26" s="6"/>
      <c r="C26" s="3">
        <v>5.4</v>
      </c>
      <c r="D26" s="3"/>
      <c r="E26" s="3"/>
      <c r="F26" s="3"/>
      <c r="G26" s="3"/>
      <c r="H26" s="26"/>
      <c r="I26" s="34">
        <f t="shared" si="0"/>
        <v>5.4</v>
      </c>
      <c r="J26" s="1"/>
      <c r="K26" s="1"/>
      <c r="L26" s="1"/>
    </row>
    <row r="27" spans="1:12" ht="15.75" x14ac:dyDescent="0.25">
      <c r="A27" s="56">
        <v>26</v>
      </c>
      <c r="B27" s="6"/>
      <c r="C27" s="3"/>
      <c r="D27" s="3"/>
      <c r="E27" s="3"/>
      <c r="F27" s="3"/>
      <c r="G27" s="3"/>
      <c r="H27" s="26"/>
      <c r="I27" s="34">
        <f t="shared" si="0"/>
        <v>0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>
        <v>32</v>
      </c>
      <c r="H28" s="26" t="s">
        <v>47</v>
      </c>
      <c r="I28" s="34">
        <f t="shared" si="0"/>
        <v>32</v>
      </c>
      <c r="J28" s="1"/>
      <c r="K28" s="1"/>
      <c r="L28" s="1"/>
    </row>
    <row r="29" spans="1:12" ht="15.75" x14ac:dyDescent="0.25">
      <c r="A29" s="17">
        <v>28</v>
      </c>
      <c r="B29" s="6"/>
      <c r="C29" s="3"/>
      <c r="D29" s="3"/>
      <c r="E29" s="3"/>
      <c r="F29" s="3"/>
      <c r="G29" s="3"/>
      <c r="H29" s="26" t="s">
        <v>55</v>
      </c>
      <c r="I29" s="34">
        <f t="shared" si="0"/>
        <v>0</v>
      </c>
      <c r="J29" s="1"/>
      <c r="K29" s="1"/>
      <c r="L29" s="1"/>
    </row>
    <row r="30" spans="1:12" ht="15.75" x14ac:dyDescent="0.25">
      <c r="A30" s="17">
        <v>29</v>
      </c>
      <c r="B30" s="6"/>
      <c r="C30" s="3"/>
      <c r="D30" s="3"/>
      <c r="E30" s="3"/>
      <c r="F30" s="3"/>
      <c r="G30" s="3"/>
      <c r="H30" s="26"/>
      <c r="I30" s="34">
        <f t="shared" si="0"/>
        <v>0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/>
      <c r="H31" s="26"/>
      <c r="I31" s="34">
        <f t="shared" si="0"/>
        <v>0</v>
      </c>
      <c r="J31" s="1"/>
      <c r="K31" s="1"/>
      <c r="L31" s="1"/>
    </row>
    <row r="32" spans="1:12" ht="16.5" thickBot="1" x14ac:dyDescent="0.3">
      <c r="A32" s="68">
        <v>31</v>
      </c>
      <c r="B32" s="69"/>
      <c r="C32" s="70"/>
      <c r="D32" s="70"/>
      <c r="E32" s="70"/>
      <c r="F32" s="70"/>
      <c r="G32" s="70"/>
      <c r="H32" s="71"/>
      <c r="I32" s="74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87.5</v>
      </c>
      <c r="C33" s="29">
        <f>SUM(C2:C32)</f>
        <v>22.9</v>
      </c>
      <c r="D33" s="28">
        <f t="shared" ref="D33:H33" si="1">SUM(D2:D32)</f>
        <v>30</v>
      </c>
      <c r="E33" s="29">
        <f t="shared" si="1"/>
        <v>10</v>
      </c>
      <c r="F33" s="29">
        <f t="shared" si="1"/>
        <v>0</v>
      </c>
      <c r="G33" s="28">
        <f t="shared" si="1"/>
        <v>53</v>
      </c>
      <c r="H33" s="29">
        <f t="shared" si="1"/>
        <v>0</v>
      </c>
      <c r="I33" s="33">
        <f>SUM(I2:I32)</f>
        <v>203.4</v>
      </c>
    </row>
  </sheetData>
  <conditionalFormatting sqref="L16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3"/>
  <sheetViews>
    <sheetView topLeftCell="A7" workbookViewId="0">
      <selection activeCell="M6" sqref="M6:O8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5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8" t="s">
        <v>27</v>
      </c>
    </row>
    <row r="2" spans="1:15" ht="16.5" thickBot="1" x14ac:dyDescent="0.3">
      <c r="A2" s="18">
        <v>1</v>
      </c>
      <c r="B2" s="59"/>
      <c r="C2" s="57"/>
      <c r="D2" s="5"/>
      <c r="E2" s="4"/>
      <c r="F2" s="4"/>
      <c r="G2" s="4"/>
      <c r="H2" s="25"/>
      <c r="I2" s="34">
        <f>SUM(B2:H2)</f>
        <v>0</v>
      </c>
      <c r="J2" s="1"/>
      <c r="K2" s="96">
        <v>217</v>
      </c>
      <c r="L2" s="16">
        <v>38</v>
      </c>
    </row>
    <row r="3" spans="1:15" ht="15.75" x14ac:dyDescent="0.25">
      <c r="A3" s="56">
        <v>2</v>
      </c>
      <c r="B3" s="6">
        <v>17.100000000000001</v>
      </c>
      <c r="C3" s="4"/>
      <c r="D3" s="3"/>
      <c r="E3" s="3"/>
      <c r="F3" s="3"/>
      <c r="G3" s="3"/>
      <c r="H3" s="26"/>
      <c r="I3" s="34">
        <f t="shared" ref="I3:I32" si="0">SUM(B3:H3)</f>
        <v>17.100000000000001</v>
      </c>
      <c r="J3" s="91"/>
      <c r="K3" s="92"/>
      <c r="L3" s="93"/>
    </row>
    <row r="4" spans="1:15" ht="15.75" x14ac:dyDescent="0.25">
      <c r="A4" s="56">
        <v>3</v>
      </c>
      <c r="B4" s="6"/>
      <c r="C4" s="3"/>
      <c r="D4" s="3"/>
      <c r="E4" s="3"/>
      <c r="F4" s="3"/>
      <c r="G4" s="3"/>
      <c r="H4" s="26"/>
      <c r="I4" s="34">
        <f t="shared" si="0"/>
        <v>0</v>
      </c>
      <c r="J4" s="1"/>
      <c r="K4" s="2"/>
      <c r="L4" s="1"/>
    </row>
    <row r="5" spans="1:15" ht="15.75" x14ac:dyDescent="0.25">
      <c r="A5" s="17">
        <v>4</v>
      </c>
      <c r="B5" s="6"/>
      <c r="C5" s="3"/>
      <c r="D5" s="3"/>
      <c r="E5" s="3"/>
      <c r="F5" s="3"/>
      <c r="G5" s="3"/>
      <c r="H5" s="26"/>
      <c r="I5" s="34">
        <f t="shared" si="0"/>
        <v>0</v>
      </c>
      <c r="J5" s="1"/>
      <c r="K5" s="2"/>
      <c r="L5" s="1"/>
    </row>
    <row r="6" spans="1:15" ht="15.75" x14ac:dyDescent="0.25">
      <c r="A6" s="17">
        <v>5</v>
      </c>
      <c r="B6" s="6"/>
      <c r="C6" s="3"/>
      <c r="D6" s="3"/>
      <c r="E6" s="3"/>
      <c r="F6" s="3"/>
      <c r="G6" s="3"/>
      <c r="H6" s="26"/>
      <c r="I6" s="34">
        <f t="shared" si="0"/>
        <v>0</v>
      </c>
      <c r="J6" s="1"/>
      <c r="K6" s="2"/>
      <c r="L6" s="1"/>
    </row>
    <row r="7" spans="1:15" ht="15.75" x14ac:dyDescent="0.25">
      <c r="A7" s="17">
        <v>6</v>
      </c>
      <c r="B7" s="6">
        <v>6.8</v>
      </c>
      <c r="C7" s="3"/>
      <c r="D7" s="3"/>
      <c r="E7" s="3"/>
      <c r="F7" s="3"/>
      <c r="G7" s="3"/>
      <c r="H7" s="26"/>
      <c r="I7" s="34">
        <f t="shared" si="0"/>
        <v>6.8</v>
      </c>
      <c r="J7" s="1"/>
      <c r="K7" s="2"/>
      <c r="L7" s="1"/>
    </row>
    <row r="8" spans="1:15" ht="15.75" x14ac:dyDescent="0.25">
      <c r="A8" s="17">
        <v>7</v>
      </c>
      <c r="B8" s="6"/>
      <c r="C8" s="3"/>
      <c r="D8" s="3"/>
      <c r="E8" s="3"/>
      <c r="F8" s="3"/>
      <c r="G8" s="3"/>
      <c r="H8" s="26"/>
      <c r="I8" s="34">
        <f t="shared" si="0"/>
        <v>0</v>
      </c>
      <c r="J8" s="1"/>
      <c r="K8" s="2"/>
      <c r="L8" s="1"/>
    </row>
    <row r="9" spans="1:15" ht="15.75" x14ac:dyDescent="0.25">
      <c r="A9" s="17">
        <v>8</v>
      </c>
      <c r="B9" s="6"/>
      <c r="C9" s="3"/>
      <c r="D9" s="3">
        <v>30</v>
      </c>
      <c r="E9" s="3"/>
      <c r="F9" s="3"/>
      <c r="G9" s="3"/>
      <c r="H9" s="26"/>
      <c r="I9" s="34">
        <f t="shared" si="0"/>
        <v>30</v>
      </c>
      <c r="J9" s="1"/>
      <c r="K9" s="2"/>
      <c r="L9" s="1"/>
    </row>
    <row r="10" spans="1:15" ht="15.75" x14ac:dyDescent="0.25">
      <c r="A10" s="56">
        <v>9</v>
      </c>
      <c r="B10" s="6"/>
      <c r="C10" s="3"/>
      <c r="D10" s="3"/>
      <c r="E10" s="3">
        <v>10</v>
      </c>
      <c r="F10" s="3"/>
      <c r="G10" s="3">
        <v>730</v>
      </c>
      <c r="H10" s="26" t="s">
        <v>65</v>
      </c>
      <c r="I10" s="34">
        <f t="shared" si="0"/>
        <v>740</v>
      </c>
      <c r="J10" s="1"/>
      <c r="K10" s="2"/>
      <c r="L10" s="1"/>
    </row>
    <row r="11" spans="1:15" ht="15.75" x14ac:dyDescent="0.25">
      <c r="A11" s="56">
        <v>10</v>
      </c>
      <c r="B11" s="6"/>
      <c r="C11" s="3"/>
      <c r="D11" s="3"/>
      <c r="E11" s="3"/>
      <c r="F11" s="3"/>
      <c r="G11" s="3"/>
      <c r="H11" s="26"/>
      <c r="I11" s="34">
        <f t="shared" si="0"/>
        <v>0</v>
      </c>
      <c r="J11" s="1"/>
      <c r="K11" s="2"/>
      <c r="L11" s="1"/>
    </row>
    <row r="12" spans="1:15" ht="16.5" thickBot="1" x14ac:dyDescent="0.3">
      <c r="A12" s="17">
        <v>11</v>
      </c>
      <c r="B12" s="6"/>
      <c r="C12" s="3"/>
      <c r="D12" s="3"/>
      <c r="E12" s="3"/>
      <c r="F12" s="3"/>
      <c r="G12" s="3"/>
      <c r="H12" s="26"/>
      <c r="I12" s="34">
        <f t="shared" si="0"/>
        <v>0</v>
      </c>
      <c r="J12" s="1"/>
      <c r="K12" s="2"/>
      <c r="L12" s="1"/>
    </row>
    <row r="13" spans="1:15" ht="16.5" thickBot="1" x14ac:dyDescent="0.3">
      <c r="A13" s="17">
        <v>12</v>
      </c>
      <c r="B13" s="6"/>
      <c r="C13" s="3"/>
      <c r="D13" s="3"/>
      <c r="E13" s="3"/>
      <c r="F13" s="3"/>
      <c r="G13" s="3"/>
      <c r="H13" s="26"/>
      <c r="I13" s="34">
        <f t="shared" si="0"/>
        <v>0</v>
      </c>
      <c r="J13" s="1"/>
      <c r="K13" s="10" t="s">
        <v>6</v>
      </c>
      <c r="L13" s="21">
        <f>778.86+627.4-330</f>
        <v>1076.26</v>
      </c>
      <c r="M13" s="82"/>
      <c r="N13" t="s">
        <v>57</v>
      </c>
      <c r="O13" t="s">
        <v>58</v>
      </c>
    </row>
    <row r="14" spans="1:15" ht="15.75" x14ac:dyDescent="0.25">
      <c r="A14" s="17">
        <v>13</v>
      </c>
      <c r="B14" s="6"/>
      <c r="C14" s="3"/>
      <c r="D14" s="3"/>
      <c r="E14" s="3"/>
      <c r="F14" s="3"/>
      <c r="G14" s="3"/>
      <c r="H14" s="26"/>
      <c r="I14" s="34">
        <f t="shared" si="0"/>
        <v>0</v>
      </c>
      <c r="J14" s="1"/>
      <c r="K14" s="15" t="s">
        <v>7</v>
      </c>
      <c r="L14" s="20">
        <f>SUM(B33:H33)+K2+L2</f>
        <v>1197.5</v>
      </c>
      <c r="M14" s="89">
        <f>L14*100/L13/100</f>
        <v>1.1126493598201177</v>
      </c>
    </row>
    <row r="15" spans="1:15" ht="15.75" x14ac:dyDescent="0.25">
      <c r="A15" s="17">
        <v>14</v>
      </c>
      <c r="B15" s="6"/>
      <c r="C15" s="3"/>
      <c r="D15" s="3"/>
      <c r="E15" s="3"/>
      <c r="F15" s="3"/>
      <c r="G15" s="3"/>
      <c r="H15" s="26" t="s">
        <v>59</v>
      </c>
      <c r="I15" s="34">
        <f t="shared" si="0"/>
        <v>0</v>
      </c>
      <c r="J15" s="1"/>
      <c r="K15" s="13"/>
      <c r="L15" s="12"/>
      <c r="M15" s="88"/>
    </row>
    <row r="16" spans="1:15" ht="16.5" thickBot="1" x14ac:dyDescent="0.3">
      <c r="A16" s="17">
        <v>15</v>
      </c>
      <c r="B16" s="6"/>
      <c r="C16" s="3">
        <v>8.6</v>
      </c>
      <c r="D16" s="3"/>
      <c r="E16" s="3"/>
      <c r="F16" s="3"/>
      <c r="G16" s="3"/>
      <c r="H16" s="26" t="s">
        <v>60</v>
      </c>
      <c r="I16" s="34">
        <f t="shared" si="0"/>
        <v>8.6</v>
      </c>
      <c r="J16" s="1"/>
      <c r="K16" s="14" t="s">
        <v>8</v>
      </c>
      <c r="L16" s="11">
        <f>L13-L14</f>
        <v>-121.24000000000001</v>
      </c>
      <c r="M16" s="90">
        <f>(L16*100/L13)/100</f>
        <v>-0.11264935982011781</v>
      </c>
    </row>
    <row r="17" spans="1:12" ht="15.75" x14ac:dyDescent="0.25">
      <c r="A17" s="56">
        <v>16</v>
      </c>
      <c r="B17" s="6"/>
      <c r="C17" s="3"/>
      <c r="D17" s="3"/>
      <c r="E17" s="3">
        <v>10</v>
      </c>
      <c r="F17" s="3">
        <v>20</v>
      </c>
      <c r="G17" s="3"/>
      <c r="H17" s="26" t="s">
        <v>56</v>
      </c>
      <c r="I17" s="34">
        <f t="shared" si="0"/>
        <v>30</v>
      </c>
      <c r="J17" s="1"/>
      <c r="K17" s="1"/>
      <c r="L17" s="1"/>
    </row>
    <row r="18" spans="1:12" ht="15.75" x14ac:dyDescent="0.25">
      <c r="A18" s="56">
        <v>17</v>
      </c>
      <c r="B18" s="6"/>
      <c r="C18" s="3"/>
      <c r="D18" s="3"/>
      <c r="E18" s="3"/>
      <c r="F18" s="3"/>
      <c r="G18" s="3"/>
      <c r="H18" s="26"/>
      <c r="I18" s="34">
        <f t="shared" si="0"/>
        <v>0</v>
      </c>
      <c r="J18" s="1"/>
      <c r="K18" s="1"/>
      <c r="L18" s="1"/>
    </row>
    <row r="19" spans="1:12" ht="15.75" x14ac:dyDescent="0.25">
      <c r="A19" s="17">
        <v>18</v>
      </c>
      <c r="B19" s="6"/>
      <c r="C19" s="3"/>
      <c r="D19" s="3"/>
      <c r="E19" s="3"/>
      <c r="F19" s="3"/>
      <c r="G19" s="3"/>
      <c r="H19" s="26"/>
      <c r="I19" s="34">
        <f t="shared" si="0"/>
        <v>0</v>
      </c>
      <c r="J19" s="1"/>
      <c r="K19" s="1"/>
      <c r="L19" s="1"/>
    </row>
    <row r="20" spans="1:12" ht="15.75" x14ac:dyDescent="0.25">
      <c r="A20" s="17">
        <v>19</v>
      </c>
      <c r="B20" s="6"/>
      <c r="C20" s="3"/>
      <c r="D20" s="3">
        <v>20</v>
      </c>
      <c r="E20" s="3"/>
      <c r="F20" s="3"/>
      <c r="G20" s="3"/>
      <c r="H20" s="26"/>
      <c r="I20" s="34">
        <f t="shared" si="0"/>
        <v>20</v>
      </c>
      <c r="J20" s="1"/>
      <c r="K20" s="1"/>
      <c r="L20" s="1"/>
    </row>
    <row r="21" spans="1:12" ht="15.75" x14ac:dyDescent="0.25">
      <c r="A21" s="17">
        <v>20</v>
      </c>
      <c r="B21" s="6"/>
      <c r="C21" s="3"/>
      <c r="D21" s="3"/>
      <c r="E21" s="3"/>
      <c r="F21" s="3"/>
      <c r="G21" s="3"/>
      <c r="H21" s="26"/>
      <c r="I21" s="34">
        <f t="shared" si="0"/>
        <v>0</v>
      </c>
      <c r="J21" s="1"/>
      <c r="K21" s="1"/>
      <c r="L21" s="1"/>
    </row>
    <row r="22" spans="1:12" ht="15.75" x14ac:dyDescent="0.25">
      <c r="A22" s="17">
        <v>21</v>
      </c>
      <c r="B22" s="6">
        <v>3</v>
      </c>
      <c r="C22" s="3"/>
      <c r="D22" s="3"/>
      <c r="E22" s="3"/>
      <c r="F22" s="3"/>
      <c r="G22" s="3">
        <v>30</v>
      </c>
      <c r="H22" s="26" t="s">
        <v>61</v>
      </c>
      <c r="I22" s="34">
        <f t="shared" si="0"/>
        <v>33</v>
      </c>
      <c r="J22" s="1"/>
      <c r="K22" s="1"/>
      <c r="L22" s="1"/>
    </row>
    <row r="23" spans="1:12" ht="15.75" x14ac:dyDescent="0.25">
      <c r="A23" s="17">
        <v>22</v>
      </c>
      <c r="B23" s="6"/>
      <c r="C23" s="3"/>
      <c r="D23" s="3"/>
      <c r="E23" s="3"/>
      <c r="F23" s="3"/>
      <c r="G23" s="3"/>
      <c r="H23" s="26"/>
      <c r="I23" s="34">
        <f t="shared" si="0"/>
        <v>0</v>
      </c>
      <c r="J23" s="1"/>
      <c r="K23" s="1"/>
      <c r="L23" s="1"/>
    </row>
    <row r="24" spans="1:12" ht="15.75" x14ac:dyDescent="0.25">
      <c r="A24" s="56">
        <v>23</v>
      </c>
      <c r="B24" s="6">
        <f>32-C24</f>
        <v>19</v>
      </c>
      <c r="C24" s="3">
        <v>13</v>
      </c>
      <c r="D24" s="3"/>
      <c r="E24" s="3"/>
      <c r="F24" s="3"/>
      <c r="G24" s="3">
        <v>22</v>
      </c>
      <c r="H24" s="26" t="s">
        <v>62</v>
      </c>
      <c r="I24" s="34">
        <f t="shared" si="0"/>
        <v>54</v>
      </c>
      <c r="J24" s="1"/>
      <c r="K24" s="1"/>
      <c r="L24" s="1"/>
    </row>
    <row r="25" spans="1:12" ht="15.75" x14ac:dyDescent="0.25">
      <c r="A25" s="56">
        <v>24</v>
      </c>
      <c r="B25" s="6"/>
      <c r="C25" s="3"/>
      <c r="D25" s="3"/>
      <c r="E25" s="3"/>
      <c r="F25" s="3"/>
      <c r="G25" s="3"/>
      <c r="H25" s="26"/>
      <c r="I25" s="34">
        <f t="shared" si="0"/>
        <v>0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/>
      <c r="F26" s="3"/>
      <c r="G26" s="3"/>
      <c r="H26" s="26"/>
      <c r="I26" s="34">
        <f t="shared" si="0"/>
        <v>0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/>
      <c r="F27" s="3"/>
      <c r="G27" s="3"/>
      <c r="H27" s="26"/>
      <c r="I27" s="34">
        <f t="shared" si="0"/>
        <v>0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/>
      <c r="H28" s="26"/>
      <c r="I28" s="34">
        <f t="shared" si="0"/>
        <v>0</v>
      </c>
      <c r="J28" s="1"/>
      <c r="K28" s="1"/>
      <c r="L28" s="1"/>
    </row>
    <row r="29" spans="1:12" ht="15.75" x14ac:dyDescent="0.25">
      <c r="A29" s="17">
        <v>28</v>
      </c>
      <c r="B29" s="6"/>
      <c r="C29" s="3"/>
      <c r="D29" s="3"/>
      <c r="E29" s="3"/>
      <c r="F29" s="3"/>
      <c r="G29" s="3"/>
      <c r="H29" s="26"/>
      <c r="I29" s="34">
        <f t="shared" si="0"/>
        <v>0</v>
      </c>
      <c r="J29" s="1"/>
      <c r="K29" s="1"/>
      <c r="L29" s="1"/>
    </row>
    <row r="30" spans="1:12" ht="15.75" x14ac:dyDescent="0.25">
      <c r="A30" s="17">
        <v>29</v>
      </c>
      <c r="B30" s="6"/>
      <c r="C30" s="3"/>
      <c r="D30" s="3"/>
      <c r="E30" s="3"/>
      <c r="F30" s="3">
        <v>3</v>
      </c>
      <c r="G30" s="3"/>
      <c r="H30" s="26"/>
      <c r="I30" s="34">
        <f t="shared" si="0"/>
        <v>3</v>
      </c>
      <c r="J30" s="1"/>
      <c r="K30" s="1"/>
      <c r="L30" s="1"/>
    </row>
    <row r="31" spans="1:12" ht="15.75" x14ac:dyDescent="0.25">
      <c r="A31" s="56">
        <v>30</v>
      </c>
      <c r="B31" s="6"/>
      <c r="C31" s="3"/>
      <c r="D31" s="3"/>
      <c r="E31" s="3"/>
      <c r="F31" s="3"/>
      <c r="G31" s="3"/>
      <c r="H31" s="26"/>
      <c r="I31" s="34">
        <f t="shared" si="0"/>
        <v>0</v>
      </c>
      <c r="J31" s="1"/>
      <c r="K31" s="1"/>
      <c r="L31" s="1"/>
    </row>
    <row r="32" spans="1:12" ht="16.5" thickBot="1" x14ac:dyDescent="0.3">
      <c r="A32" s="75">
        <v>31</v>
      </c>
      <c r="B32" s="7"/>
      <c r="C32" s="8"/>
      <c r="D32" s="8"/>
      <c r="E32" s="8"/>
      <c r="F32" s="8"/>
      <c r="G32" s="8"/>
      <c r="H32" s="27"/>
      <c r="I32" s="34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45.900000000000006</v>
      </c>
      <c r="C33" s="29">
        <f>SUM(C2:C32)</f>
        <v>21.6</v>
      </c>
      <c r="D33" s="28">
        <f t="shared" ref="D33:H33" si="1">SUM(D2:D32)</f>
        <v>50</v>
      </c>
      <c r="E33" s="29">
        <f t="shared" si="1"/>
        <v>20</v>
      </c>
      <c r="F33" s="29">
        <f t="shared" si="1"/>
        <v>23</v>
      </c>
      <c r="G33" s="28">
        <f t="shared" si="1"/>
        <v>782</v>
      </c>
      <c r="H33" s="29">
        <f t="shared" si="1"/>
        <v>0</v>
      </c>
      <c r="I33" s="33">
        <f>SUM(I2:I32)</f>
        <v>942.5</v>
      </c>
    </row>
  </sheetData>
  <conditionalFormatting sqref="L16">
    <cfRule type="cellIs" dxfId="15" priority="1" operator="lessThan">
      <formula>0</formula>
    </cfRule>
    <cfRule type="cellIs" dxfId="14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topLeftCell="A10" workbookViewId="0">
      <selection activeCell="K18" sqref="K18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8" t="s">
        <v>27</v>
      </c>
    </row>
    <row r="2" spans="1:13" ht="16.5" thickBot="1" x14ac:dyDescent="0.3">
      <c r="A2" s="18">
        <v>1</v>
      </c>
      <c r="B2" s="59"/>
      <c r="C2" s="57"/>
      <c r="D2" s="5"/>
      <c r="E2" s="4"/>
      <c r="F2" s="4">
        <v>1.9</v>
      </c>
      <c r="G2" s="4"/>
      <c r="H2" s="25"/>
      <c r="I2" s="34">
        <f>SUM(B2:H2)</f>
        <v>1.9</v>
      </c>
      <c r="J2" s="1"/>
      <c r="K2" s="96">
        <v>217</v>
      </c>
      <c r="L2" s="16">
        <v>39.5</v>
      </c>
    </row>
    <row r="3" spans="1:13" ht="15.75" x14ac:dyDescent="0.25">
      <c r="A3" s="17">
        <v>2</v>
      </c>
      <c r="B3" s="6"/>
      <c r="C3" s="4"/>
      <c r="D3" s="3">
        <v>40</v>
      </c>
      <c r="E3" s="3"/>
      <c r="F3" s="3">
        <v>3.7</v>
      </c>
      <c r="G3" s="3"/>
      <c r="H3" s="26"/>
      <c r="I3" s="34">
        <f t="shared" ref="I3:I32" si="0">SUM(B3:H3)</f>
        <v>43.7</v>
      </c>
      <c r="J3" s="91"/>
      <c r="K3" s="92"/>
      <c r="L3" s="99"/>
      <c r="M3" s="81"/>
    </row>
    <row r="4" spans="1:13" ht="15.75" x14ac:dyDescent="0.25">
      <c r="A4" s="17">
        <v>3</v>
      </c>
      <c r="B4" s="6"/>
      <c r="C4" s="3"/>
      <c r="D4" s="3"/>
      <c r="E4" s="3"/>
      <c r="F4" s="3"/>
      <c r="G4" s="3"/>
      <c r="H4" s="26"/>
      <c r="I4" s="34">
        <f t="shared" si="0"/>
        <v>0</v>
      </c>
      <c r="J4" s="1"/>
      <c r="K4" s="2"/>
      <c r="L4" s="1"/>
    </row>
    <row r="5" spans="1:13" ht="15.75" x14ac:dyDescent="0.25">
      <c r="A5" s="17">
        <v>4</v>
      </c>
      <c r="B5" s="6"/>
      <c r="C5" s="3"/>
      <c r="D5" s="3"/>
      <c r="E5" s="3"/>
      <c r="F5" s="3"/>
      <c r="G5" s="3"/>
      <c r="H5" s="26"/>
      <c r="I5" s="34">
        <f t="shared" si="0"/>
        <v>0</v>
      </c>
      <c r="J5" s="1"/>
      <c r="K5" s="2"/>
      <c r="L5" s="1"/>
    </row>
    <row r="6" spans="1:13" ht="15.75" x14ac:dyDescent="0.25">
      <c r="A6" s="17">
        <v>5</v>
      </c>
      <c r="B6" s="6"/>
      <c r="C6" s="3"/>
      <c r="D6" s="3"/>
      <c r="E6" s="3"/>
      <c r="F6" s="3">
        <v>3.7</v>
      </c>
      <c r="G6" s="3"/>
      <c r="H6" s="26"/>
      <c r="I6" s="34">
        <f t="shared" si="0"/>
        <v>3.7</v>
      </c>
      <c r="J6" s="1"/>
      <c r="K6" s="2"/>
      <c r="L6" s="1"/>
    </row>
    <row r="7" spans="1:13" ht="15.75" x14ac:dyDescent="0.25">
      <c r="A7" s="56">
        <v>6</v>
      </c>
      <c r="B7" s="6"/>
      <c r="C7" s="3"/>
      <c r="D7" s="3"/>
      <c r="E7" s="3"/>
      <c r="F7" s="3">
        <v>2.7</v>
      </c>
      <c r="G7" s="3"/>
      <c r="H7" s="26"/>
      <c r="I7" s="34">
        <f t="shared" si="0"/>
        <v>2.7</v>
      </c>
      <c r="J7" s="1"/>
      <c r="K7" s="2"/>
      <c r="L7" s="1"/>
    </row>
    <row r="8" spans="1:13" ht="15.75" x14ac:dyDescent="0.25">
      <c r="A8" s="56">
        <v>7</v>
      </c>
      <c r="B8" s="6"/>
      <c r="C8" s="3"/>
      <c r="D8" s="3"/>
      <c r="E8" s="3">
        <v>10</v>
      </c>
      <c r="F8" s="3"/>
      <c r="G8" s="3"/>
      <c r="H8" s="26"/>
      <c r="I8" s="34">
        <f t="shared" si="0"/>
        <v>10</v>
      </c>
      <c r="J8" s="1"/>
      <c r="K8" s="2"/>
      <c r="L8" s="1"/>
    </row>
    <row r="9" spans="1:13" ht="15.75" x14ac:dyDescent="0.25">
      <c r="A9" s="17">
        <v>8</v>
      </c>
      <c r="B9" s="6"/>
      <c r="C9" s="3"/>
      <c r="D9" s="3"/>
      <c r="E9" s="3"/>
      <c r="F9" s="3"/>
      <c r="G9" s="3"/>
      <c r="H9" s="26"/>
      <c r="I9" s="34">
        <f t="shared" si="0"/>
        <v>0</v>
      </c>
      <c r="J9" s="1"/>
      <c r="K9" s="2"/>
      <c r="L9" s="1"/>
    </row>
    <row r="10" spans="1:13" ht="15.75" x14ac:dyDescent="0.25">
      <c r="A10" s="17">
        <v>9</v>
      </c>
      <c r="B10" s="6"/>
      <c r="C10" s="3"/>
      <c r="D10" s="3"/>
      <c r="E10" s="3"/>
      <c r="F10" s="3">
        <v>3</v>
      </c>
      <c r="G10" s="3"/>
      <c r="H10" s="26"/>
      <c r="I10" s="34">
        <f t="shared" si="0"/>
        <v>3</v>
      </c>
      <c r="J10" s="1"/>
      <c r="K10" s="2"/>
      <c r="L10" s="1"/>
    </row>
    <row r="11" spans="1:13" ht="15.75" x14ac:dyDescent="0.25">
      <c r="A11" s="17">
        <v>10</v>
      </c>
      <c r="B11" s="6">
        <f>(52-G11)+2.4</f>
        <v>51.4</v>
      </c>
      <c r="C11" s="3"/>
      <c r="D11" s="3"/>
      <c r="E11" s="3"/>
      <c r="F11" s="3"/>
      <c r="G11" s="3">
        <v>3</v>
      </c>
      <c r="H11" s="26"/>
      <c r="I11" s="34">
        <f t="shared" si="0"/>
        <v>54.4</v>
      </c>
      <c r="J11" s="1"/>
      <c r="K11" s="2"/>
      <c r="L11" s="1"/>
    </row>
    <row r="12" spans="1:13" ht="16.5" thickBot="1" x14ac:dyDescent="0.3">
      <c r="A12" s="17">
        <v>11</v>
      </c>
      <c r="B12" s="6"/>
      <c r="C12" s="3"/>
      <c r="D12" s="3"/>
      <c r="E12" s="3"/>
      <c r="F12" s="3"/>
      <c r="G12" s="3"/>
      <c r="H12" s="26"/>
      <c r="I12" s="34">
        <f t="shared" si="0"/>
        <v>0</v>
      </c>
      <c r="J12" s="1"/>
      <c r="K12" s="2"/>
      <c r="L12" s="1"/>
    </row>
    <row r="13" spans="1:13" ht="16.5" thickBot="1" x14ac:dyDescent="0.3">
      <c r="A13" s="17">
        <v>12</v>
      </c>
      <c r="B13" s="6">
        <v>6.6</v>
      </c>
      <c r="C13" s="3"/>
      <c r="D13" s="3"/>
      <c r="E13" s="3"/>
      <c r="F13" s="3"/>
      <c r="G13" s="3"/>
      <c r="H13" s="26"/>
      <c r="I13" s="34">
        <f t="shared" si="0"/>
        <v>6.6</v>
      </c>
      <c r="J13" s="1"/>
      <c r="K13" s="10" t="s">
        <v>6</v>
      </c>
      <c r="L13" s="21">
        <v>888.96</v>
      </c>
      <c r="M13" s="82"/>
    </row>
    <row r="14" spans="1:13" ht="15.75" x14ac:dyDescent="0.25">
      <c r="A14" s="56">
        <v>13</v>
      </c>
      <c r="B14" s="6">
        <v>8.2200000000000006</v>
      </c>
      <c r="C14" s="3"/>
      <c r="D14" s="3"/>
      <c r="E14" s="3"/>
      <c r="F14" s="3"/>
      <c r="G14" s="3">
        <f>14+9</f>
        <v>23</v>
      </c>
      <c r="H14" s="26" t="s">
        <v>63</v>
      </c>
      <c r="I14" s="34">
        <f t="shared" si="0"/>
        <v>31.22</v>
      </c>
      <c r="J14" s="1"/>
      <c r="K14" s="15" t="s">
        <v>7</v>
      </c>
      <c r="L14" s="20">
        <f>SUM(B33:H33)+K2+L2</f>
        <v>590.8599999999999</v>
      </c>
      <c r="M14" s="89">
        <f>L14*100/L13/100</f>
        <v>0.66466432685385157</v>
      </c>
    </row>
    <row r="15" spans="1:13" ht="15.75" x14ac:dyDescent="0.25">
      <c r="A15" s="56">
        <v>14</v>
      </c>
      <c r="B15" s="6"/>
      <c r="C15" s="3"/>
      <c r="D15" s="3"/>
      <c r="E15" s="3"/>
      <c r="F15" s="3"/>
      <c r="G15" s="3"/>
      <c r="H15" s="26"/>
      <c r="I15" s="34">
        <f t="shared" si="0"/>
        <v>0</v>
      </c>
      <c r="J15" s="1"/>
      <c r="K15" s="13"/>
      <c r="L15" s="12"/>
      <c r="M15" s="88"/>
    </row>
    <row r="16" spans="1:13" ht="16.5" thickBot="1" x14ac:dyDescent="0.3">
      <c r="A16" s="17">
        <v>15</v>
      </c>
      <c r="B16" s="6"/>
      <c r="C16" s="3"/>
      <c r="D16" s="3"/>
      <c r="E16" s="3"/>
      <c r="F16" s="3"/>
      <c r="G16" s="3"/>
      <c r="H16" s="26"/>
      <c r="I16" s="34">
        <f t="shared" si="0"/>
        <v>0</v>
      </c>
      <c r="J16" s="1"/>
      <c r="K16" s="14" t="s">
        <v>8</v>
      </c>
      <c r="L16" s="11">
        <f>L13-L14</f>
        <v>298.10000000000014</v>
      </c>
      <c r="M16" s="90">
        <f>(L16*100/L13)/100</f>
        <v>0.33533567314614843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/>
      <c r="H17" s="26"/>
      <c r="I17" s="34">
        <f t="shared" si="0"/>
        <v>0</v>
      </c>
      <c r="J17" s="1"/>
      <c r="K17" s="1"/>
      <c r="L17" s="1"/>
    </row>
    <row r="18" spans="1:12" ht="15.75" x14ac:dyDescent="0.25">
      <c r="A18" s="17">
        <v>17</v>
      </c>
      <c r="B18" s="6">
        <v>0.41</v>
      </c>
      <c r="C18" s="3"/>
      <c r="D18" s="3"/>
      <c r="E18" s="3"/>
      <c r="F18" s="3"/>
      <c r="G18" s="3"/>
      <c r="H18" s="26"/>
      <c r="I18" s="34">
        <f t="shared" si="0"/>
        <v>0.41</v>
      </c>
      <c r="J18" s="1"/>
      <c r="K18" s="1"/>
      <c r="L18" s="1"/>
    </row>
    <row r="19" spans="1:12" ht="15.75" x14ac:dyDescent="0.25">
      <c r="A19" s="17">
        <v>18</v>
      </c>
      <c r="B19" s="6"/>
      <c r="C19" s="3"/>
      <c r="D19" s="3"/>
      <c r="E19" s="3"/>
      <c r="F19" s="3">
        <v>2</v>
      </c>
      <c r="G19" s="3"/>
      <c r="H19" s="26"/>
      <c r="I19" s="34">
        <f t="shared" si="0"/>
        <v>2</v>
      </c>
      <c r="J19" s="1"/>
      <c r="K19" s="1"/>
      <c r="L19" s="1"/>
    </row>
    <row r="20" spans="1:12" ht="15.75" x14ac:dyDescent="0.25">
      <c r="A20" s="17">
        <v>19</v>
      </c>
      <c r="B20" s="6"/>
      <c r="C20" s="3">
        <v>6.7</v>
      </c>
      <c r="D20" s="3"/>
      <c r="E20" s="3"/>
      <c r="F20" s="3"/>
      <c r="G20" s="3"/>
      <c r="H20" s="26"/>
      <c r="I20" s="34">
        <f t="shared" si="0"/>
        <v>6.7</v>
      </c>
      <c r="J20" s="1"/>
      <c r="K20" s="1"/>
      <c r="L20" s="1"/>
    </row>
    <row r="21" spans="1:12" ht="15.75" x14ac:dyDescent="0.25">
      <c r="A21" s="56">
        <v>20</v>
      </c>
      <c r="B21" s="6"/>
      <c r="C21" s="3"/>
      <c r="D21" s="3"/>
      <c r="E21" s="3"/>
      <c r="F21" s="3">
        <v>4</v>
      </c>
      <c r="G21" s="3"/>
      <c r="H21" s="26"/>
      <c r="I21" s="34">
        <f t="shared" si="0"/>
        <v>4</v>
      </c>
      <c r="J21" s="1"/>
      <c r="K21" s="1"/>
      <c r="L21" s="1"/>
    </row>
    <row r="22" spans="1:12" ht="15.75" x14ac:dyDescent="0.25">
      <c r="A22" s="56">
        <v>21</v>
      </c>
      <c r="B22" s="6"/>
      <c r="C22" s="3"/>
      <c r="D22" s="3"/>
      <c r="E22" s="3"/>
      <c r="F22" s="3">
        <v>4</v>
      </c>
      <c r="G22" s="3"/>
      <c r="H22" s="26"/>
      <c r="I22" s="34">
        <f t="shared" si="0"/>
        <v>4</v>
      </c>
      <c r="J22" s="1"/>
      <c r="K22" s="1"/>
      <c r="L22" s="1"/>
    </row>
    <row r="23" spans="1:12" ht="15.75" x14ac:dyDescent="0.25">
      <c r="A23" s="17">
        <v>22</v>
      </c>
      <c r="B23" s="6">
        <v>28.09</v>
      </c>
      <c r="C23" s="3"/>
      <c r="D23" s="3"/>
      <c r="E23" s="3"/>
      <c r="F23" s="3"/>
      <c r="G23" s="3"/>
      <c r="H23" s="26"/>
      <c r="I23" s="34">
        <f t="shared" si="0"/>
        <v>28.09</v>
      </c>
      <c r="J23" s="1"/>
      <c r="K23" s="1"/>
      <c r="L23" s="1"/>
    </row>
    <row r="24" spans="1:12" ht="15.75" x14ac:dyDescent="0.25">
      <c r="A24" s="17">
        <v>23</v>
      </c>
      <c r="B24" s="6"/>
      <c r="C24" s="3"/>
      <c r="D24" s="3"/>
      <c r="E24" s="3"/>
      <c r="F24" s="3"/>
      <c r="G24" s="3"/>
      <c r="H24" s="26"/>
      <c r="I24" s="34">
        <f t="shared" si="0"/>
        <v>0</v>
      </c>
      <c r="J24" s="1"/>
      <c r="K24" s="1"/>
      <c r="L24" s="1"/>
    </row>
    <row r="25" spans="1:12" ht="15.75" x14ac:dyDescent="0.25">
      <c r="A25" s="17">
        <v>24</v>
      </c>
      <c r="B25" s="6"/>
      <c r="C25" s="3"/>
      <c r="D25" s="3"/>
      <c r="E25" s="3"/>
      <c r="F25" s="3"/>
      <c r="G25" s="3"/>
      <c r="H25" s="26"/>
      <c r="I25" s="34">
        <f t="shared" si="0"/>
        <v>0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>
        <v>20</v>
      </c>
      <c r="E26" s="3">
        <v>10</v>
      </c>
      <c r="F26" s="3">
        <v>4.7</v>
      </c>
      <c r="G26" s="3"/>
      <c r="H26" s="26"/>
      <c r="I26" s="34">
        <f t="shared" si="0"/>
        <v>34.700000000000003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/>
      <c r="F27" s="3">
        <f>3+4+3</f>
        <v>10</v>
      </c>
      <c r="G27" s="3"/>
      <c r="H27" s="26"/>
      <c r="I27" s="34">
        <f t="shared" si="0"/>
        <v>10</v>
      </c>
      <c r="J27" s="1"/>
      <c r="K27" s="1"/>
      <c r="L27" s="1"/>
    </row>
    <row r="28" spans="1:12" ht="15.75" x14ac:dyDescent="0.25">
      <c r="A28" s="56">
        <v>27</v>
      </c>
      <c r="B28" s="6"/>
      <c r="C28" s="3">
        <v>5.5</v>
      </c>
      <c r="D28" s="3">
        <v>10</v>
      </c>
      <c r="E28" s="3">
        <v>10</v>
      </c>
      <c r="F28" s="3">
        <v>4</v>
      </c>
      <c r="G28" s="3"/>
      <c r="H28" s="26"/>
      <c r="I28" s="34">
        <f t="shared" si="0"/>
        <v>29.5</v>
      </c>
      <c r="J28" s="1"/>
      <c r="K28" s="1"/>
      <c r="L28" s="1"/>
    </row>
    <row r="29" spans="1:12" ht="15.75" x14ac:dyDescent="0.25">
      <c r="A29" s="56">
        <v>28</v>
      </c>
      <c r="B29" s="6"/>
      <c r="C29" s="3"/>
      <c r="D29" s="3"/>
      <c r="E29" s="3"/>
      <c r="F29" s="3"/>
      <c r="G29" s="3">
        <f>10+8.39+8.5</f>
        <v>26.89</v>
      </c>
      <c r="H29" s="26" t="s">
        <v>64</v>
      </c>
      <c r="I29" s="34">
        <f t="shared" si="0"/>
        <v>26.89</v>
      </c>
      <c r="J29" s="1"/>
      <c r="K29" s="1"/>
      <c r="L29" s="1"/>
    </row>
    <row r="30" spans="1:12" ht="15.75" x14ac:dyDescent="0.25">
      <c r="A30" s="17">
        <v>29</v>
      </c>
      <c r="B30" s="6">
        <v>9.1999999999999993</v>
      </c>
      <c r="C30" s="3">
        <v>1.2</v>
      </c>
      <c r="D30" s="3"/>
      <c r="E30" s="3"/>
      <c r="F30" s="3"/>
      <c r="G30" s="3"/>
      <c r="H30" s="26"/>
      <c r="I30" s="34">
        <f t="shared" si="0"/>
        <v>10.399999999999999</v>
      </c>
      <c r="J30" s="1"/>
      <c r="K30" s="1"/>
      <c r="L30" s="1"/>
    </row>
    <row r="31" spans="1:12" ht="15.75" x14ac:dyDescent="0.25">
      <c r="A31" s="17">
        <v>30</v>
      </c>
      <c r="B31" s="62"/>
      <c r="C31" s="3">
        <v>0.45</v>
      </c>
      <c r="D31" s="3"/>
      <c r="E31" s="3"/>
      <c r="F31" s="3"/>
      <c r="G31" s="3">
        <v>20</v>
      </c>
      <c r="H31" s="26" t="s">
        <v>47</v>
      </c>
      <c r="I31" s="34">
        <f t="shared" si="0"/>
        <v>20.45</v>
      </c>
      <c r="J31" s="1"/>
      <c r="K31" s="1"/>
      <c r="L31" s="1"/>
    </row>
    <row r="32" spans="1:12" ht="16.5" thickBot="1" x14ac:dyDescent="0.3">
      <c r="A32" s="68">
        <v>31</v>
      </c>
      <c r="B32" s="69"/>
      <c r="C32" s="70"/>
      <c r="D32" s="70"/>
      <c r="E32" s="70"/>
      <c r="F32" s="70"/>
      <c r="G32" s="70"/>
      <c r="H32" s="71"/>
      <c r="I32" s="74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103.92</v>
      </c>
      <c r="C33" s="29">
        <f>SUM(C2:C32)</f>
        <v>13.849999999999998</v>
      </c>
      <c r="D33" s="28">
        <f t="shared" ref="D33:H33" si="1">SUM(D2:D32)</f>
        <v>70</v>
      </c>
      <c r="E33" s="29">
        <f t="shared" si="1"/>
        <v>30</v>
      </c>
      <c r="F33" s="29">
        <f t="shared" si="1"/>
        <v>43.7</v>
      </c>
      <c r="G33" s="28">
        <f t="shared" si="1"/>
        <v>72.89</v>
      </c>
      <c r="H33" s="29">
        <f t="shared" si="1"/>
        <v>0</v>
      </c>
      <c r="I33" s="33">
        <f>SUM(I2:I32)</f>
        <v>334.35999999999996</v>
      </c>
    </row>
  </sheetData>
  <conditionalFormatting sqref="L16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3"/>
  <sheetViews>
    <sheetView topLeftCell="A16" workbookViewId="0">
      <selection activeCell="K10" sqref="K10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8" t="s">
        <v>27</v>
      </c>
    </row>
    <row r="2" spans="1:13" ht="16.5" thickBot="1" x14ac:dyDescent="0.3">
      <c r="A2" s="18">
        <v>1</v>
      </c>
      <c r="B2" s="59"/>
      <c r="C2" s="57">
        <v>0.45</v>
      </c>
      <c r="D2" s="5"/>
      <c r="E2" s="4"/>
      <c r="F2" s="4"/>
      <c r="G2" s="4"/>
      <c r="H2" s="25"/>
      <c r="I2" s="34">
        <f>SUM(B2:H2)</f>
        <v>0.45</v>
      </c>
      <c r="J2" s="1"/>
      <c r="K2" s="96">
        <v>250</v>
      </c>
      <c r="L2" s="16">
        <v>39</v>
      </c>
    </row>
    <row r="3" spans="1:13" ht="15.75" x14ac:dyDescent="0.25">
      <c r="A3" s="17">
        <v>2</v>
      </c>
      <c r="B3" s="6"/>
      <c r="C3" s="4">
        <v>0.45</v>
      </c>
      <c r="D3" s="3"/>
      <c r="E3" s="3"/>
      <c r="F3" s="3"/>
      <c r="G3" s="3"/>
      <c r="H3" s="26"/>
      <c r="I3" s="34">
        <f t="shared" ref="I3:I32" si="0">SUM(B3:H3)</f>
        <v>0.45</v>
      </c>
      <c r="J3" s="91"/>
      <c r="K3" s="92"/>
      <c r="L3" s="93"/>
      <c r="M3" s="81"/>
    </row>
    <row r="4" spans="1:13" ht="15.75" x14ac:dyDescent="0.25">
      <c r="A4" s="17">
        <v>3</v>
      </c>
      <c r="B4" s="6"/>
      <c r="C4" s="3">
        <v>0.45</v>
      </c>
      <c r="D4" s="3"/>
      <c r="E4" s="3"/>
      <c r="F4" s="3"/>
      <c r="G4" s="3"/>
      <c r="H4" s="26"/>
      <c r="I4" s="34">
        <f t="shared" si="0"/>
        <v>0.45</v>
      </c>
      <c r="J4" s="1"/>
      <c r="K4" s="2"/>
      <c r="L4" s="1"/>
    </row>
    <row r="5" spans="1:13" ht="15.75" x14ac:dyDescent="0.25">
      <c r="A5" s="56">
        <v>4</v>
      </c>
      <c r="B5" s="6">
        <v>35.17</v>
      </c>
      <c r="C5" s="3"/>
      <c r="D5" s="3"/>
      <c r="E5" s="3"/>
      <c r="F5" s="3"/>
      <c r="G5" s="3">
        <v>12.9</v>
      </c>
      <c r="H5" s="26" t="s">
        <v>67</v>
      </c>
      <c r="I5" s="34">
        <f t="shared" si="0"/>
        <v>48.07</v>
      </c>
      <c r="J5" s="1"/>
      <c r="K5" s="2"/>
      <c r="L5" s="1"/>
    </row>
    <row r="6" spans="1:13" ht="15.75" x14ac:dyDescent="0.25">
      <c r="A6" s="56">
        <v>5</v>
      </c>
      <c r="B6" s="6"/>
      <c r="C6" s="3"/>
      <c r="D6" s="3"/>
      <c r="E6" s="3"/>
      <c r="F6" s="3"/>
      <c r="G6" s="3"/>
      <c r="H6" s="26"/>
      <c r="I6" s="34">
        <f t="shared" si="0"/>
        <v>0</v>
      </c>
      <c r="J6" s="1"/>
      <c r="K6" s="2"/>
      <c r="L6" s="1"/>
    </row>
    <row r="7" spans="1:13" ht="15.75" x14ac:dyDescent="0.25">
      <c r="A7" s="17">
        <v>6</v>
      </c>
      <c r="B7" s="6"/>
      <c r="C7" s="3">
        <v>0.45</v>
      </c>
      <c r="D7" s="3"/>
      <c r="E7" s="3"/>
      <c r="F7" s="3"/>
      <c r="G7" s="3"/>
      <c r="H7" s="26"/>
      <c r="I7" s="34">
        <f t="shared" si="0"/>
        <v>0.45</v>
      </c>
      <c r="J7" s="1"/>
      <c r="K7" s="2"/>
      <c r="L7" s="1"/>
    </row>
    <row r="8" spans="1:13" ht="15.75" x14ac:dyDescent="0.25">
      <c r="A8" s="17">
        <v>7</v>
      </c>
      <c r="B8" s="6"/>
      <c r="C8" s="3">
        <v>0.45</v>
      </c>
      <c r="D8" s="3"/>
      <c r="E8" s="3"/>
      <c r="F8" s="3"/>
      <c r="G8" s="3"/>
      <c r="H8" s="26"/>
      <c r="I8" s="34">
        <f t="shared" si="0"/>
        <v>0.45</v>
      </c>
      <c r="J8" s="1"/>
      <c r="K8" s="2"/>
      <c r="L8" s="1"/>
    </row>
    <row r="9" spans="1:13" ht="15.75" x14ac:dyDescent="0.25">
      <c r="A9" s="17">
        <v>8</v>
      </c>
      <c r="B9" s="6"/>
      <c r="C9" s="3">
        <v>0.45</v>
      </c>
      <c r="D9" s="3"/>
      <c r="E9" s="3"/>
      <c r="F9" s="3"/>
      <c r="G9" s="3"/>
      <c r="H9" s="26"/>
      <c r="I9" s="34">
        <f t="shared" si="0"/>
        <v>0.45</v>
      </c>
      <c r="J9" s="1"/>
      <c r="K9" s="2"/>
      <c r="L9" s="1"/>
    </row>
    <row r="10" spans="1:13" ht="15.75" x14ac:dyDescent="0.25">
      <c r="A10" s="17">
        <v>9</v>
      </c>
      <c r="B10" s="6"/>
      <c r="C10" s="3">
        <v>0.45</v>
      </c>
      <c r="D10" s="3"/>
      <c r="E10" s="3">
        <v>8.5</v>
      </c>
      <c r="F10" s="3"/>
      <c r="G10" s="3"/>
      <c r="H10" s="26"/>
      <c r="I10" s="34">
        <f t="shared" si="0"/>
        <v>8.9499999999999993</v>
      </c>
      <c r="J10" s="1"/>
      <c r="K10" s="2"/>
      <c r="L10" s="1"/>
    </row>
    <row r="11" spans="1:13" ht="15.75" x14ac:dyDescent="0.25">
      <c r="A11" s="17">
        <v>10</v>
      </c>
      <c r="B11" s="6"/>
      <c r="C11" s="3">
        <v>32</v>
      </c>
      <c r="D11" s="3"/>
      <c r="E11" s="3"/>
      <c r="F11" s="3">
        <v>1.2</v>
      </c>
      <c r="G11" s="3">
        <v>30</v>
      </c>
      <c r="H11" s="26" t="s">
        <v>71</v>
      </c>
      <c r="I11" s="34">
        <f t="shared" si="0"/>
        <v>63.2</v>
      </c>
      <c r="J11" s="1"/>
      <c r="K11" s="2"/>
      <c r="L11" s="1"/>
    </row>
    <row r="12" spans="1:13" ht="16.5" thickBot="1" x14ac:dyDescent="0.3">
      <c r="A12" s="56">
        <v>11</v>
      </c>
      <c r="B12" s="6"/>
      <c r="C12" s="3"/>
      <c r="D12" s="3"/>
      <c r="E12" s="3"/>
      <c r="F12" s="3"/>
      <c r="G12" s="3"/>
      <c r="H12" s="26"/>
      <c r="I12" s="34">
        <f t="shared" si="0"/>
        <v>0</v>
      </c>
      <c r="J12" s="1"/>
      <c r="K12" s="2"/>
      <c r="L12" s="1"/>
    </row>
    <row r="13" spans="1:13" ht="16.5" thickBot="1" x14ac:dyDescent="0.3">
      <c r="A13" s="56">
        <v>12</v>
      </c>
      <c r="B13" s="6"/>
      <c r="C13" s="3"/>
      <c r="D13" s="3"/>
      <c r="E13" s="3">
        <v>13.5</v>
      </c>
      <c r="F13" s="3">
        <v>1.7</v>
      </c>
      <c r="G13" s="3"/>
      <c r="H13" s="26"/>
      <c r="I13" s="34">
        <f t="shared" si="0"/>
        <v>15.2</v>
      </c>
      <c r="J13" s="1"/>
      <c r="K13" s="10" t="s">
        <v>6</v>
      </c>
      <c r="L13" s="21">
        <v>1853</v>
      </c>
      <c r="M13" s="82"/>
    </row>
    <row r="14" spans="1:13" ht="15.75" x14ac:dyDescent="0.25">
      <c r="A14" s="17">
        <v>13</v>
      </c>
      <c r="B14" s="6"/>
      <c r="C14" s="3">
        <v>0.45</v>
      </c>
      <c r="D14" s="3"/>
      <c r="E14" s="3"/>
      <c r="F14" s="3"/>
      <c r="G14" s="3"/>
      <c r="H14" s="26"/>
      <c r="I14" s="34">
        <f t="shared" si="0"/>
        <v>0.45</v>
      </c>
      <c r="J14" s="1"/>
      <c r="K14" s="15" t="s">
        <v>7</v>
      </c>
      <c r="L14" s="20">
        <f>SUM(B33:H33)+K2+L2</f>
        <v>695.59</v>
      </c>
      <c r="M14" s="89">
        <f>L14*100/L13/100</f>
        <v>0.37538586076632491</v>
      </c>
    </row>
    <row r="15" spans="1:13" ht="15.75" x14ac:dyDescent="0.25">
      <c r="A15" s="17">
        <v>14</v>
      </c>
      <c r="B15" s="6"/>
      <c r="C15" s="3">
        <v>0.45</v>
      </c>
      <c r="D15" s="3"/>
      <c r="E15" s="3"/>
      <c r="F15" s="3"/>
      <c r="G15" s="3">
        <v>115.5</v>
      </c>
      <c r="H15" s="26" t="s">
        <v>66</v>
      </c>
      <c r="I15" s="34">
        <f t="shared" si="0"/>
        <v>115.95</v>
      </c>
      <c r="J15" s="1"/>
      <c r="K15" s="13"/>
      <c r="L15" s="12"/>
      <c r="M15" s="88"/>
    </row>
    <row r="16" spans="1:13" ht="16.5" thickBot="1" x14ac:dyDescent="0.3">
      <c r="A16" s="17">
        <v>15</v>
      </c>
      <c r="B16" s="6">
        <v>21.67</v>
      </c>
      <c r="C16" s="3">
        <v>0.25</v>
      </c>
      <c r="D16" s="3">
        <v>30</v>
      </c>
      <c r="E16" s="3"/>
      <c r="F16" s="3"/>
      <c r="G16" s="3"/>
      <c r="H16" s="26"/>
      <c r="I16" s="34">
        <f t="shared" si="0"/>
        <v>51.92</v>
      </c>
      <c r="J16" s="1"/>
      <c r="K16" s="14" t="s">
        <v>8</v>
      </c>
      <c r="L16" s="11">
        <f>L13-L14</f>
        <v>1157.4099999999999</v>
      </c>
      <c r="M16" s="90">
        <f>(L16*100/L13)/100</f>
        <v>0.62461413923367504</v>
      </c>
    </row>
    <row r="17" spans="1:12" ht="15.75" x14ac:dyDescent="0.25">
      <c r="A17" s="17">
        <v>16</v>
      </c>
      <c r="B17" s="6"/>
      <c r="C17" s="3">
        <v>0.25</v>
      </c>
      <c r="D17" s="3"/>
      <c r="E17" s="3"/>
      <c r="F17" s="3"/>
      <c r="G17" s="3"/>
      <c r="H17" s="26"/>
      <c r="I17" s="34">
        <f t="shared" si="0"/>
        <v>0.25</v>
      </c>
      <c r="J17" s="1"/>
      <c r="K17" s="1"/>
      <c r="L17" s="1"/>
    </row>
    <row r="18" spans="1:12" ht="15.75" x14ac:dyDescent="0.25">
      <c r="A18" s="17">
        <v>17</v>
      </c>
      <c r="B18" s="6"/>
      <c r="C18" s="3">
        <v>8.9</v>
      </c>
      <c r="D18" s="3"/>
      <c r="E18" s="3"/>
      <c r="F18" s="3"/>
      <c r="G18" s="3"/>
      <c r="H18" s="26" t="s">
        <v>68</v>
      </c>
      <c r="I18" s="34">
        <f t="shared" si="0"/>
        <v>8.9</v>
      </c>
      <c r="J18" s="1"/>
      <c r="K18" s="1"/>
      <c r="L18" s="1"/>
    </row>
    <row r="19" spans="1:12" ht="15.75" x14ac:dyDescent="0.25">
      <c r="A19" s="56">
        <v>18</v>
      </c>
      <c r="B19" s="6"/>
      <c r="C19" s="3"/>
      <c r="D19" s="3"/>
      <c r="E19" s="3"/>
      <c r="F19" s="3"/>
      <c r="G19" s="3"/>
      <c r="H19" s="26"/>
      <c r="I19" s="34">
        <f t="shared" si="0"/>
        <v>0</v>
      </c>
      <c r="J19" s="1"/>
      <c r="K19" s="1"/>
      <c r="L19" s="1"/>
    </row>
    <row r="20" spans="1:12" ht="15.75" x14ac:dyDescent="0.25">
      <c r="A20" s="56">
        <v>19</v>
      </c>
      <c r="B20" s="6"/>
      <c r="C20" s="3">
        <v>16</v>
      </c>
      <c r="D20" s="3"/>
      <c r="E20" s="3"/>
      <c r="F20" s="3"/>
      <c r="G20" s="3"/>
      <c r="H20" s="26" t="s">
        <v>69</v>
      </c>
      <c r="I20" s="34">
        <f t="shared" si="0"/>
        <v>16</v>
      </c>
      <c r="J20" s="1"/>
      <c r="K20" s="1"/>
      <c r="L20" s="1"/>
    </row>
    <row r="21" spans="1:12" ht="15.75" x14ac:dyDescent="0.25">
      <c r="A21" s="17">
        <v>20</v>
      </c>
      <c r="B21" s="6"/>
      <c r="C21" s="3">
        <v>0.5</v>
      </c>
      <c r="D21" s="3"/>
      <c r="E21" s="3"/>
      <c r="F21" s="3"/>
      <c r="G21" s="3"/>
      <c r="H21" s="26"/>
      <c r="I21" s="34">
        <f t="shared" si="0"/>
        <v>0.5</v>
      </c>
      <c r="J21" s="1"/>
      <c r="K21" s="1"/>
      <c r="L21" s="1"/>
    </row>
    <row r="22" spans="1:12" ht="15.75" x14ac:dyDescent="0.25">
      <c r="A22" s="17">
        <v>21</v>
      </c>
      <c r="B22" s="6"/>
      <c r="C22" s="3">
        <v>0.5</v>
      </c>
      <c r="D22" s="3"/>
      <c r="E22" s="3"/>
      <c r="F22" s="3"/>
      <c r="G22" s="3"/>
      <c r="H22" s="26"/>
      <c r="I22" s="34">
        <f t="shared" si="0"/>
        <v>0.5</v>
      </c>
      <c r="J22" s="1"/>
      <c r="K22" s="1"/>
      <c r="L22" s="1"/>
    </row>
    <row r="23" spans="1:12" ht="15.75" x14ac:dyDescent="0.25">
      <c r="A23" s="17">
        <v>22</v>
      </c>
      <c r="B23" s="6">
        <v>12</v>
      </c>
      <c r="C23" s="3">
        <v>0.5</v>
      </c>
      <c r="D23" s="3"/>
      <c r="E23" s="3"/>
      <c r="F23" s="3"/>
      <c r="G23" s="3"/>
      <c r="H23" s="26" t="s">
        <v>70</v>
      </c>
      <c r="I23" s="34">
        <f t="shared" si="0"/>
        <v>12.5</v>
      </c>
      <c r="J23" s="1"/>
      <c r="K23" s="1"/>
      <c r="L23" s="1"/>
    </row>
    <row r="24" spans="1:12" ht="15.75" x14ac:dyDescent="0.25">
      <c r="A24" s="17">
        <v>23</v>
      </c>
      <c r="B24" s="6"/>
      <c r="C24" s="3">
        <v>18</v>
      </c>
      <c r="D24" s="3"/>
      <c r="E24" s="3"/>
      <c r="F24" s="3">
        <v>5</v>
      </c>
      <c r="G24" s="3"/>
      <c r="H24" s="26"/>
      <c r="I24" s="34">
        <f t="shared" si="0"/>
        <v>23</v>
      </c>
      <c r="J24" s="1"/>
      <c r="K24" s="1"/>
      <c r="L24" s="1"/>
    </row>
    <row r="25" spans="1:12" ht="15.75" x14ac:dyDescent="0.25">
      <c r="A25" s="17">
        <v>24</v>
      </c>
      <c r="B25" s="6"/>
      <c r="C25" s="3">
        <v>0.5</v>
      </c>
      <c r="D25" s="3"/>
      <c r="E25" s="3"/>
      <c r="F25" s="3"/>
      <c r="G25" s="3"/>
      <c r="H25" s="26"/>
      <c r="I25" s="34">
        <f t="shared" si="0"/>
        <v>0.5</v>
      </c>
      <c r="J25" s="1"/>
      <c r="K25" s="1"/>
      <c r="L25" s="1"/>
    </row>
    <row r="26" spans="1:12" ht="15.75" x14ac:dyDescent="0.25">
      <c r="A26" s="56">
        <v>25</v>
      </c>
      <c r="B26" s="6"/>
      <c r="C26" s="3">
        <f>12.5+7</f>
        <v>19.5</v>
      </c>
      <c r="D26" s="3"/>
      <c r="E26" s="3">
        <v>1.7</v>
      </c>
      <c r="F26" s="3"/>
      <c r="G26" s="3"/>
      <c r="H26" s="26" t="s">
        <v>72</v>
      </c>
      <c r="I26" s="34">
        <f t="shared" si="0"/>
        <v>21.2</v>
      </c>
      <c r="J26" s="1"/>
      <c r="K26" s="1"/>
      <c r="L26" s="1"/>
    </row>
    <row r="27" spans="1:12" ht="15.75" x14ac:dyDescent="0.25">
      <c r="A27" s="56">
        <v>26</v>
      </c>
      <c r="B27" s="6"/>
      <c r="C27" s="3">
        <v>14.3</v>
      </c>
      <c r="D27" s="3"/>
      <c r="E27" s="3"/>
      <c r="F27" s="3"/>
      <c r="G27" s="3"/>
      <c r="H27" s="26" t="s">
        <v>60</v>
      </c>
      <c r="I27" s="34">
        <f t="shared" si="0"/>
        <v>14.3</v>
      </c>
      <c r="J27" s="1"/>
      <c r="K27" s="1"/>
      <c r="L27" s="1"/>
    </row>
    <row r="28" spans="1:12" ht="15.75" x14ac:dyDescent="0.25">
      <c r="A28" s="17">
        <v>27</v>
      </c>
      <c r="B28" s="6"/>
      <c r="C28" s="3">
        <v>0.5</v>
      </c>
      <c r="D28" s="3"/>
      <c r="E28" s="3"/>
      <c r="F28" s="3"/>
      <c r="G28" s="3"/>
      <c r="H28" s="26"/>
      <c r="I28" s="34">
        <f t="shared" si="0"/>
        <v>0.5</v>
      </c>
      <c r="J28" s="1"/>
      <c r="K28" s="1"/>
      <c r="L28" s="1"/>
    </row>
    <row r="29" spans="1:12" ht="15.75" x14ac:dyDescent="0.25">
      <c r="A29" s="17">
        <v>28</v>
      </c>
      <c r="B29" s="6"/>
      <c r="C29" s="3">
        <v>0.5</v>
      </c>
      <c r="D29" s="3"/>
      <c r="E29" s="3"/>
      <c r="F29" s="3"/>
      <c r="G29" s="3"/>
      <c r="H29" s="26"/>
      <c r="I29" s="34">
        <f t="shared" si="0"/>
        <v>0.5</v>
      </c>
      <c r="J29" s="1"/>
      <c r="K29" s="1"/>
      <c r="L29" s="1"/>
    </row>
    <row r="30" spans="1:12" ht="15.75" x14ac:dyDescent="0.25">
      <c r="A30" s="17">
        <v>29</v>
      </c>
      <c r="B30" s="6"/>
      <c r="C30" s="3">
        <v>0.5</v>
      </c>
      <c r="D30" s="3"/>
      <c r="E30" s="3"/>
      <c r="F30" s="3"/>
      <c r="G30" s="3"/>
      <c r="H30" s="26"/>
      <c r="I30" s="34">
        <f t="shared" si="0"/>
        <v>0.5</v>
      </c>
      <c r="J30" s="1"/>
      <c r="K30" s="1"/>
      <c r="L30" s="1"/>
    </row>
    <row r="31" spans="1:12" ht="15.75" x14ac:dyDescent="0.25">
      <c r="A31" s="17">
        <v>30</v>
      </c>
      <c r="B31" s="6"/>
      <c r="C31" s="3">
        <v>0.5</v>
      </c>
      <c r="D31" s="3"/>
      <c r="E31" s="3"/>
      <c r="F31" s="3"/>
      <c r="G31" s="3"/>
      <c r="H31" s="26"/>
      <c r="I31" s="34">
        <f t="shared" si="0"/>
        <v>0.5</v>
      </c>
      <c r="J31" s="1"/>
      <c r="K31" s="1"/>
      <c r="L31" s="1"/>
    </row>
    <row r="32" spans="1:12" ht="16.5" thickBot="1" x14ac:dyDescent="0.3">
      <c r="A32" s="19">
        <v>31</v>
      </c>
      <c r="B32" s="7"/>
      <c r="C32" s="8">
        <v>0.5</v>
      </c>
      <c r="D32" s="8"/>
      <c r="E32" s="8"/>
      <c r="F32" s="8"/>
      <c r="G32" s="8">
        <f>48-48</f>
        <v>0</v>
      </c>
      <c r="H32" s="27" t="s">
        <v>73</v>
      </c>
      <c r="I32" s="34">
        <f t="shared" si="0"/>
        <v>0.5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68.84</v>
      </c>
      <c r="C33" s="29">
        <f>SUM(C2:C32)</f>
        <v>117.75</v>
      </c>
      <c r="D33" s="28">
        <f t="shared" ref="D33:H33" si="1">SUM(D2:D32)</f>
        <v>30</v>
      </c>
      <c r="E33" s="29">
        <f t="shared" si="1"/>
        <v>23.7</v>
      </c>
      <c r="F33" s="29">
        <f t="shared" si="1"/>
        <v>7.9</v>
      </c>
      <c r="G33" s="28">
        <f t="shared" si="1"/>
        <v>158.4</v>
      </c>
      <c r="H33" s="29">
        <f t="shared" si="1"/>
        <v>0</v>
      </c>
      <c r="I33" s="33">
        <f>SUM(I2:I32)</f>
        <v>406.59</v>
      </c>
    </row>
  </sheetData>
  <conditionalFormatting sqref="L16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3"/>
  <sheetViews>
    <sheetView topLeftCell="A7" workbookViewId="0">
      <selection activeCell="N16" sqref="N16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8" t="s">
        <v>27</v>
      </c>
    </row>
    <row r="2" spans="1:13" ht="16.5" thickBot="1" x14ac:dyDescent="0.3">
      <c r="A2" s="63">
        <v>1</v>
      </c>
      <c r="B2" s="59"/>
      <c r="C2" s="57">
        <v>10</v>
      </c>
      <c r="D2" s="5"/>
      <c r="E2" s="4"/>
      <c r="F2" s="4"/>
      <c r="G2" s="4"/>
      <c r="H2" s="25" t="s">
        <v>74</v>
      </c>
      <c r="I2" s="34">
        <f>SUM(B2:H2)</f>
        <v>10</v>
      </c>
      <c r="J2" s="95"/>
      <c r="K2" s="96">
        <v>250</v>
      </c>
      <c r="L2" s="16">
        <v>46</v>
      </c>
    </row>
    <row r="3" spans="1:13" ht="15.75" x14ac:dyDescent="0.25">
      <c r="A3" s="56">
        <v>2</v>
      </c>
      <c r="B3" s="6"/>
      <c r="C3" s="4">
        <v>25.3</v>
      </c>
      <c r="D3" s="3"/>
      <c r="E3" s="3"/>
      <c r="F3" s="3"/>
      <c r="G3" s="3"/>
      <c r="H3" s="26" t="s">
        <v>75</v>
      </c>
      <c r="I3" s="34">
        <f t="shared" ref="I3:I32" si="0">SUM(B3:H3)</f>
        <v>25.3</v>
      </c>
      <c r="J3" s="91"/>
      <c r="K3" s="92"/>
      <c r="L3" s="93"/>
      <c r="M3" s="97"/>
    </row>
    <row r="4" spans="1:13" ht="15.75" x14ac:dyDescent="0.25">
      <c r="A4" s="17">
        <v>3</v>
      </c>
      <c r="B4" s="6"/>
      <c r="C4" s="3">
        <v>30</v>
      </c>
      <c r="D4" s="3"/>
      <c r="E4" s="3"/>
      <c r="F4" s="3"/>
      <c r="G4" s="3"/>
      <c r="H4" s="26" t="s">
        <v>76</v>
      </c>
      <c r="I4" s="34">
        <f t="shared" si="0"/>
        <v>30</v>
      </c>
      <c r="J4" s="1"/>
      <c r="K4" s="2"/>
      <c r="L4" s="1"/>
    </row>
    <row r="5" spans="1:13" ht="15.75" x14ac:dyDescent="0.25">
      <c r="A5" s="17">
        <v>4</v>
      </c>
      <c r="B5" s="6"/>
      <c r="C5" s="3">
        <f>22.5+23.6</f>
        <v>46.1</v>
      </c>
      <c r="D5" s="3"/>
      <c r="E5" s="3">
        <v>10</v>
      </c>
      <c r="F5" s="3"/>
      <c r="G5" s="3"/>
      <c r="H5" s="26" t="s">
        <v>77</v>
      </c>
      <c r="I5" s="34">
        <f t="shared" si="0"/>
        <v>56.1</v>
      </c>
      <c r="J5" s="1"/>
      <c r="K5" s="2"/>
      <c r="L5" s="1"/>
    </row>
    <row r="6" spans="1:13" ht="15.75" x14ac:dyDescent="0.25">
      <c r="A6" s="17">
        <v>5</v>
      </c>
      <c r="B6" s="6"/>
      <c r="C6" s="3"/>
      <c r="D6" s="3"/>
      <c r="E6" s="3">
        <v>10</v>
      </c>
      <c r="F6" s="3"/>
      <c r="G6" s="3"/>
      <c r="H6" s="26" t="s">
        <v>78</v>
      </c>
      <c r="I6" s="34">
        <f t="shared" si="0"/>
        <v>10</v>
      </c>
      <c r="J6" s="1"/>
      <c r="K6" s="2"/>
      <c r="L6" s="1"/>
    </row>
    <row r="7" spans="1:13" ht="15.75" x14ac:dyDescent="0.25">
      <c r="A7" s="17">
        <v>6</v>
      </c>
      <c r="B7" s="6"/>
      <c r="C7" s="3">
        <v>1.2</v>
      </c>
      <c r="D7" s="3"/>
      <c r="E7" s="3"/>
      <c r="F7" s="3">
        <v>1.5</v>
      </c>
      <c r="G7" s="3"/>
      <c r="H7" s="26" t="s">
        <v>79</v>
      </c>
      <c r="I7" s="34">
        <f t="shared" si="0"/>
        <v>2.7</v>
      </c>
      <c r="J7" s="1"/>
      <c r="K7" s="2"/>
      <c r="L7" s="1"/>
    </row>
    <row r="8" spans="1:13" ht="15.75" x14ac:dyDescent="0.25">
      <c r="A8" s="17">
        <v>7</v>
      </c>
      <c r="B8" s="6"/>
      <c r="C8" s="3">
        <f>11.5+7</f>
        <v>18.5</v>
      </c>
      <c r="D8" s="3">
        <v>20</v>
      </c>
      <c r="E8" s="3"/>
      <c r="F8" s="3">
        <v>4.5</v>
      </c>
      <c r="G8" s="3"/>
      <c r="H8" s="26" t="s">
        <v>80</v>
      </c>
      <c r="I8" s="34">
        <f>SUM(B8:H8)</f>
        <v>43</v>
      </c>
      <c r="J8" s="1"/>
      <c r="K8" s="2"/>
      <c r="L8" s="1"/>
    </row>
    <row r="9" spans="1:13" ht="15.75" x14ac:dyDescent="0.25">
      <c r="A9" s="56">
        <v>8</v>
      </c>
      <c r="B9" s="6"/>
      <c r="C9" s="3"/>
      <c r="D9" s="3"/>
      <c r="E9" s="3"/>
      <c r="F9" s="3">
        <v>5</v>
      </c>
      <c r="G9" s="3"/>
      <c r="H9" s="26"/>
      <c r="I9" s="34">
        <f t="shared" si="0"/>
        <v>5</v>
      </c>
      <c r="J9" s="1"/>
      <c r="K9" s="2"/>
      <c r="L9" s="1"/>
    </row>
    <row r="10" spans="1:13" ht="15.75" x14ac:dyDescent="0.25">
      <c r="A10" s="56">
        <v>9</v>
      </c>
      <c r="B10" s="6"/>
      <c r="C10" s="3"/>
      <c r="D10" s="3"/>
      <c r="E10" s="3"/>
      <c r="F10" s="3"/>
      <c r="G10" s="3"/>
      <c r="H10" s="26" t="s">
        <v>82</v>
      </c>
      <c r="I10" s="34">
        <f t="shared" si="0"/>
        <v>0</v>
      </c>
      <c r="J10" s="1"/>
      <c r="K10" s="2"/>
      <c r="L10" s="1"/>
    </row>
    <row r="11" spans="1:13" ht="15.75" x14ac:dyDescent="0.25">
      <c r="A11" s="17">
        <v>10</v>
      </c>
      <c r="B11" s="6"/>
      <c r="C11" s="3">
        <v>14.3</v>
      </c>
      <c r="D11" s="3"/>
      <c r="E11" s="3"/>
      <c r="F11" s="3">
        <v>5.4</v>
      </c>
      <c r="G11" s="3"/>
      <c r="H11" s="26" t="s">
        <v>81</v>
      </c>
      <c r="I11" s="34">
        <f t="shared" si="0"/>
        <v>19.700000000000003</v>
      </c>
      <c r="J11" s="1"/>
      <c r="K11" s="2"/>
      <c r="L11" s="1"/>
    </row>
    <row r="12" spans="1:13" ht="16.5" thickBot="1" x14ac:dyDescent="0.3">
      <c r="A12" s="17">
        <v>11</v>
      </c>
      <c r="B12" s="6"/>
      <c r="C12" s="3">
        <v>3</v>
      </c>
      <c r="D12" s="3"/>
      <c r="E12" s="3"/>
      <c r="F12" s="3">
        <v>2.7</v>
      </c>
      <c r="G12" s="3"/>
      <c r="H12" s="26"/>
      <c r="I12" s="34">
        <f t="shared" si="0"/>
        <v>5.7</v>
      </c>
      <c r="J12" s="1"/>
      <c r="K12" s="2"/>
      <c r="L12" s="1"/>
    </row>
    <row r="13" spans="1:13" ht="16.5" thickBot="1" x14ac:dyDescent="0.3">
      <c r="A13" s="17">
        <v>12</v>
      </c>
      <c r="B13" s="6"/>
      <c r="C13" s="3"/>
      <c r="D13" s="3"/>
      <c r="E13" s="3">
        <v>4</v>
      </c>
      <c r="F13" s="3"/>
      <c r="G13" s="3"/>
      <c r="H13" s="26"/>
      <c r="I13" s="34">
        <f t="shared" si="0"/>
        <v>4</v>
      </c>
      <c r="J13" s="1"/>
      <c r="K13" s="10" t="s">
        <v>6</v>
      </c>
      <c r="L13" s="21">
        <v>916.5</v>
      </c>
      <c r="M13" s="82"/>
    </row>
    <row r="14" spans="1:13" ht="15.75" x14ac:dyDescent="0.25">
      <c r="A14" s="17">
        <v>13</v>
      </c>
      <c r="B14" s="6"/>
      <c r="C14" s="3"/>
      <c r="D14" s="3"/>
      <c r="E14" s="3"/>
      <c r="F14" s="3">
        <v>2</v>
      </c>
      <c r="G14" s="3"/>
      <c r="H14" s="26"/>
      <c r="I14" s="34">
        <f t="shared" si="0"/>
        <v>2</v>
      </c>
      <c r="J14" s="1"/>
      <c r="K14" s="15" t="s">
        <v>7</v>
      </c>
      <c r="L14" s="20">
        <f>SUM(B33:H33)+K2+L2</f>
        <v>715.68000000000006</v>
      </c>
      <c r="M14" s="89">
        <f>L14*100/L13/100</f>
        <v>0.78088379705400979</v>
      </c>
    </row>
    <row r="15" spans="1:13" ht="15.75" x14ac:dyDescent="0.25">
      <c r="A15" s="17">
        <v>14</v>
      </c>
      <c r="B15" s="6"/>
      <c r="C15" s="3"/>
      <c r="D15" s="3">
        <v>20</v>
      </c>
      <c r="E15" s="3"/>
      <c r="F15" s="3">
        <v>2</v>
      </c>
      <c r="G15" s="3"/>
      <c r="H15" s="26"/>
      <c r="I15" s="34">
        <f t="shared" si="0"/>
        <v>22</v>
      </c>
      <c r="J15" s="1"/>
      <c r="K15" s="13"/>
      <c r="L15" s="12"/>
      <c r="M15" s="88"/>
    </row>
    <row r="16" spans="1:13" ht="16.5" thickBot="1" x14ac:dyDescent="0.3">
      <c r="A16" s="56">
        <v>15</v>
      </c>
      <c r="B16" s="6"/>
      <c r="C16" s="3"/>
      <c r="D16" s="3"/>
      <c r="E16" s="3"/>
      <c r="F16" s="3"/>
      <c r="G16" s="3"/>
      <c r="H16" s="26" t="s">
        <v>83</v>
      </c>
      <c r="I16" s="34">
        <f t="shared" si="0"/>
        <v>0</v>
      </c>
      <c r="J16" s="1"/>
      <c r="K16" s="14" t="s">
        <v>8</v>
      </c>
      <c r="L16" s="11">
        <f>L13-L14</f>
        <v>200.81999999999994</v>
      </c>
      <c r="M16" s="90">
        <f>(L16*100/L13)/100</f>
        <v>0.2191162029459901</v>
      </c>
    </row>
    <row r="17" spans="1:12" ht="15.75" x14ac:dyDescent="0.25">
      <c r="A17" s="56">
        <v>16</v>
      </c>
      <c r="B17" s="6"/>
      <c r="C17" s="3"/>
      <c r="D17" s="3"/>
      <c r="E17" s="3">
        <v>10</v>
      </c>
      <c r="F17" s="3"/>
      <c r="G17" s="3"/>
      <c r="H17" s="26"/>
      <c r="I17" s="34">
        <f t="shared" si="0"/>
        <v>10</v>
      </c>
      <c r="J17" s="1"/>
      <c r="K17" s="1"/>
      <c r="L17" s="1"/>
    </row>
    <row r="18" spans="1:12" ht="15.75" x14ac:dyDescent="0.25">
      <c r="A18" s="17">
        <v>17</v>
      </c>
      <c r="B18" s="6">
        <v>42.67</v>
      </c>
      <c r="C18" s="3">
        <v>0.5</v>
      </c>
      <c r="D18" s="3"/>
      <c r="E18" s="3"/>
      <c r="F18" s="3"/>
      <c r="G18" s="3"/>
      <c r="H18" s="26"/>
      <c r="I18" s="34">
        <f t="shared" si="0"/>
        <v>43.17</v>
      </c>
      <c r="J18" s="1"/>
      <c r="K18" s="1"/>
      <c r="L18" s="1"/>
    </row>
    <row r="19" spans="1:12" ht="15.75" x14ac:dyDescent="0.25">
      <c r="A19" s="17">
        <v>18</v>
      </c>
      <c r="B19" s="6"/>
      <c r="C19" s="3">
        <v>0.5</v>
      </c>
      <c r="D19" s="3"/>
      <c r="E19" s="3"/>
      <c r="F19" s="3"/>
      <c r="G19" s="3"/>
      <c r="H19" s="26"/>
      <c r="I19" s="34">
        <f t="shared" si="0"/>
        <v>0.5</v>
      </c>
      <c r="J19" s="1"/>
      <c r="K19" s="1"/>
      <c r="L19" s="1"/>
    </row>
    <row r="20" spans="1:12" ht="15.75" x14ac:dyDescent="0.25">
      <c r="A20" s="17">
        <v>19</v>
      </c>
      <c r="B20" s="6"/>
      <c r="C20" s="3">
        <v>0.5</v>
      </c>
      <c r="D20" s="3"/>
      <c r="E20" s="3"/>
      <c r="F20" s="3"/>
      <c r="G20" s="3"/>
      <c r="H20" s="26"/>
      <c r="I20" s="34">
        <f t="shared" si="0"/>
        <v>0.5</v>
      </c>
      <c r="J20" s="1"/>
      <c r="K20" s="1"/>
      <c r="L20" s="1"/>
    </row>
    <row r="21" spans="1:12" ht="15.75" x14ac:dyDescent="0.25">
      <c r="A21" s="17">
        <v>20</v>
      </c>
      <c r="B21" s="6"/>
      <c r="C21" s="3">
        <v>0.5</v>
      </c>
      <c r="D21" s="3"/>
      <c r="E21" s="3"/>
      <c r="F21" s="3"/>
      <c r="G21" s="3"/>
      <c r="H21" s="26"/>
      <c r="I21" s="34">
        <f t="shared" si="0"/>
        <v>0.5</v>
      </c>
      <c r="J21" s="1"/>
      <c r="K21" s="1"/>
      <c r="L21" s="1"/>
    </row>
    <row r="22" spans="1:12" ht="15.75" x14ac:dyDescent="0.25">
      <c r="A22" s="17">
        <v>21</v>
      </c>
      <c r="B22" s="6"/>
      <c r="C22" s="3">
        <v>0.5</v>
      </c>
      <c r="D22" s="3"/>
      <c r="E22" s="3"/>
      <c r="F22" s="3"/>
      <c r="G22" s="3"/>
      <c r="H22" s="26"/>
      <c r="I22" s="34">
        <f t="shared" si="0"/>
        <v>0.5</v>
      </c>
      <c r="J22" s="1"/>
      <c r="K22" s="1"/>
      <c r="L22" s="1"/>
    </row>
    <row r="23" spans="1:12" ht="15.75" x14ac:dyDescent="0.25">
      <c r="A23" s="56">
        <v>22</v>
      </c>
      <c r="B23" s="6"/>
      <c r="C23" s="3"/>
      <c r="D23" s="3"/>
      <c r="E23" s="3"/>
      <c r="F23" s="3"/>
      <c r="G23" s="3"/>
      <c r="H23" s="26"/>
      <c r="I23" s="34">
        <f t="shared" si="0"/>
        <v>0</v>
      </c>
      <c r="J23" s="1"/>
      <c r="K23" s="1"/>
      <c r="L23" s="1"/>
    </row>
    <row r="24" spans="1:12" ht="15.75" x14ac:dyDescent="0.25">
      <c r="A24" s="56">
        <v>23</v>
      </c>
      <c r="B24" s="6">
        <v>5</v>
      </c>
      <c r="C24" s="3"/>
      <c r="D24" s="3"/>
      <c r="E24" s="3"/>
      <c r="F24" s="3"/>
      <c r="G24" s="3"/>
      <c r="H24" s="26"/>
      <c r="I24" s="34">
        <f t="shared" si="0"/>
        <v>5</v>
      </c>
      <c r="J24" s="1"/>
      <c r="K24" s="1"/>
      <c r="L24" s="1"/>
    </row>
    <row r="25" spans="1:12" ht="15.75" x14ac:dyDescent="0.25">
      <c r="A25" s="17">
        <v>24</v>
      </c>
      <c r="B25" s="6"/>
      <c r="C25" s="3">
        <v>0.5</v>
      </c>
      <c r="D25" s="3"/>
      <c r="E25" s="3"/>
      <c r="F25" s="3"/>
      <c r="G25" s="3"/>
      <c r="H25" s="26"/>
      <c r="I25" s="34">
        <f t="shared" si="0"/>
        <v>0.5</v>
      </c>
      <c r="J25" s="1"/>
      <c r="K25" s="1"/>
      <c r="L25" s="1"/>
    </row>
    <row r="26" spans="1:12" ht="15.75" x14ac:dyDescent="0.25">
      <c r="A26" s="17">
        <v>25</v>
      </c>
      <c r="B26" s="6"/>
      <c r="C26" s="3">
        <f>0.5+19.78</f>
        <v>20.28</v>
      </c>
      <c r="D26" s="3">
        <v>30</v>
      </c>
      <c r="E26" s="3"/>
      <c r="F26" s="3">
        <v>3</v>
      </c>
      <c r="G26" s="3"/>
      <c r="H26" s="26" t="s">
        <v>84</v>
      </c>
      <c r="I26" s="34">
        <f t="shared" si="0"/>
        <v>53.28</v>
      </c>
      <c r="J26" s="1"/>
      <c r="K26" s="1"/>
      <c r="L26" s="1"/>
    </row>
    <row r="27" spans="1:12" ht="15.75" x14ac:dyDescent="0.25">
      <c r="A27" s="17">
        <v>26</v>
      </c>
      <c r="B27" s="6">
        <v>28.23</v>
      </c>
      <c r="C27" s="3">
        <v>0.5</v>
      </c>
      <c r="D27" s="3"/>
      <c r="E27" s="3"/>
      <c r="F27" s="3"/>
      <c r="G27" s="3"/>
      <c r="H27" s="26"/>
      <c r="I27" s="34">
        <f t="shared" si="0"/>
        <v>28.73</v>
      </c>
      <c r="J27" s="1"/>
      <c r="K27" s="1"/>
      <c r="L27" s="1"/>
    </row>
    <row r="28" spans="1:12" ht="15.75" x14ac:dyDescent="0.25">
      <c r="A28" s="17">
        <v>27</v>
      </c>
      <c r="B28" s="6"/>
      <c r="C28" s="3">
        <v>0.5</v>
      </c>
      <c r="D28" s="3"/>
      <c r="E28" s="3"/>
      <c r="F28" s="3"/>
      <c r="G28" s="3"/>
      <c r="H28" s="26"/>
      <c r="I28" s="34">
        <f t="shared" si="0"/>
        <v>0.5</v>
      </c>
      <c r="J28" s="1"/>
      <c r="K28" s="1"/>
      <c r="L28" s="1"/>
    </row>
    <row r="29" spans="1:12" ht="15.75" x14ac:dyDescent="0.25">
      <c r="A29" s="17">
        <v>28</v>
      </c>
      <c r="B29" s="6"/>
      <c r="C29" s="3">
        <v>0.5</v>
      </c>
      <c r="D29" s="3"/>
      <c r="E29" s="3"/>
      <c r="F29" s="3"/>
      <c r="G29" s="3"/>
      <c r="H29" s="26"/>
      <c r="I29" s="34">
        <f t="shared" si="0"/>
        <v>0.5</v>
      </c>
      <c r="J29" s="1"/>
      <c r="K29" s="1"/>
      <c r="L29" s="1"/>
    </row>
    <row r="30" spans="1:12" ht="15.75" x14ac:dyDescent="0.25">
      <c r="A30" s="56">
        <v>29</v>
      </c>
      <c r="B30" s="6"/>
      <c r="C30" s="3">
        <v>20</v>
      </c>
      <c r="D30" s="3"/>
      <c r="E30" s="3"/>
      <c r="F30" s="3"/>
      <c r="G30" s="3"/>
      <c r="H30" s="26" t="s">
        <v>86</v>
      </c>
      <c r="I30" s="34">
        <f t="shared" si="0"/>
        <v>20</v>
      </c>
      <c r="J30" s="1"/>
      <c r="K30" s="1"/>
      <c r="L30" s="1"/>
    </row>
    <row r="31" spans="1:12" ht="15.75" x14ac:dyDescent="0.25">
      <c r="A31" s="56">
        <v>30</v>
      </c>
      <c r="B31" s="6"/>
      <c r="C31" s="3">
        <f>11+9</f>
        <v>20</v>
      </c>
      <c r="D31" s="3"/>
      <c r="E31" s="3"/>
      <c r="F31" s="3"/>
      <c r="G31" s="3"/>
      <c r="H31" s="26" t="s">
        <v>87</v>
      </c>
      <c r="I31" s="34">
        <f t="shared" si="0"/>
        <v>20</v>
      </c>
      <c r="J31" s="1"/>
      <c r="K31" s="1"/>
      <c r="L31" s="1"/>
    </row>
    <row r="32" spans="1:12" ht="16.5" thickBot="1" x14ac:dyDescent="0.3">
      <c r="A32" s="19">
        <v>31</v>
      </c>
      <c r="B32" s="7"/>
      <c r="C32" s="8">
        <v>0.5</v>
      </c>
      <c r="D32" s="8"/>
      <c r="E32" s="8"/>
      <c r="F32" s="8"/>
      <c r="G32" s="8"/>
      <c r="H32" s="27"/>
      <c r="I32" s="34">
        <f t="shared" si="0"/>
        <v>0.5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75.900000000000006</v>
      </c>
      <c r="C33" s="29">
        <f>SUM(C2:C32)</f>
        <v>213.68000000000004</v>
      </c>
      <c r="D33" s="28">
        <f t="shared" ref="D33:H33" si="1">SUM(D2:D32)</f>
        <v>70</v>
      </c>
      <c r="E33" s="29">
        <f t="shared" si="1"/>
        <v>34</v>
      </c>
      <c r="F33" s="29">
        <f t="shared" si="1"/>
        <v>26.099999999999998</v>
      </c>
      <c r="G33" s="28">
        <f t="shared" si="1"/>
        <v>0</v>
      </c>
      <c r="H33" s="29">
        <f t="shared" si="1"/>
        <v>0</v>
      </c>
      <c r="I33" s="33">
        <f>SUM(I2:I32)</f>
        <v>419.68000000000006</v>
      </c>
    </row>
  </sheetData>
  <conditionalFormatting sqref="L16">
    <cfRule type="cellIs" dxfId="9" priority="1" operator="lessThan">
      <formula>0</formula>
    </cfRule>
    <cfRule type="cellIs" dxfId="8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3"/>
  <sheetViews>
    <sheetView topLeftCell="A16" workbookViewId="0">
      <selection activeCell="C33" sqref="C33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4" t="s">
        <v>27</v>
      </c>
    </row>
    <row r="2" spans="1:13" ht="16.5" thickBot="1" x14ac:dyDescent="0.3">
      <c r="A2" s="18">
        <v>1</v>
      </c>
      <c r="B2" s="59"/>
      <c r="C2" s="57">
        <v>0.5</v>
      </c>
      <c r="D2" s="5"/>
      <c r="E2" s="4"/>
      <c r="F2" s="4"/>
      <c r="G2" s="4"/>
      <c r="H2" s="25"/>
      <c r="I2" s="34">
        <f>SUM(B2:H2)</f>
        <v>0.5</v>
      </c>
      <c r="J2" s="95"/>
      <c r="K2" s="96">
        <v>250</v>
      </c>
      <c r="L2" s="16">
        <v>52</v>
      </c>
    </row>
    <row r="3" spans="1:13" ht="15.75" x14ac:dyDescent="0.25">
      <c r="A3" s="17">
        <v>2</v>
      </c>
      <c r="B3" s="6"/>
      <c r="C3" s="4">
        <v>1.5</v>
      </c>
      <c r="D3" s="3"/>
      <c r="E3" s="3"/>
      <c r="F3" s="3"/>
      <c r="G3" s="3">
        <v>38</v>
      </c>
      <c r="H3" s="26" t="s">
        <v>85</v>
      </c>
      <c r="I3" s="34">
        <f t="shared" ref="I3:I32" si="0">SUM(B3:H3)</f>
        <v>39.5</v>
      </c>
      <c r="J3" s="91"/>
      <c r="K3" s="92"/>
      <c r="L3" s="93"/>
      <c r="M3" s="81"/>
    </row>
    <row r="4" spans="1:13" ht="15.75" x14ac:dyDescent="0.25">
      <c r="A4" s="17">
        <v>3</v>
      </c>
      <c r="B4" s="6"/>
      <c r="C4" s="3">
        <v>15</v>
      </c>
      <c r="D4" s="3"/>
      <c r="E4" s="3"/>
      <c r="F4" s="3">
        <v>5</v>
      </c>
      <c r="G4" s="3"/>
      <c r="H4" s="26" t="s">
        <v>88</v>
      </c>
      <c r="I4" s="34">
        <f t="shared" si="0"/>
        <v>20</v>
      </c>
      <c r="J4" s="1"/>
      <c r="K4" s="2"/>
      <c r="L4" s="1"/>
    </row>
    <row r="5" spans="1:13" ht="15.75" x14ac:dyDescent="0.25">
      <c r="A5" s="17">
        <v>4</v>
      </c>
      <c r="B5" s="6">
        <v>20</v>
      </c>
      <c r="C5" s="3"/>
      <c r="D5" s="3"/>
      <c r="E5" s="3"/>
      <c r="F5" s="3"/>
      <c r="G5" s="3"/>
      <c r="H5" s="26"/>
      <c r="I5" s="34">
        <f t="shared" si="0"/>
        <v>20</v>
      </c>
      <c r="J5" s="1"/>
      <c r="K5" s="2"/>
      <c r="L5" s="1"/>
    </row>
    <row r="6" spans="1:13" ht="15.75" x14ac:dyDescent="0.25">
      <c r="A6" s="56">
        <v>5</v>
      </c>
      <c r="B6" s="6">
        <v>4</v>
      </c>
      <c r="C6" s="3"/>
      <c r="D6" s="3"/>
      <c r="E6" s="3"/>
      <c r="F6" s="3"/>
      <c r="G6" s="3">
        <v>55</v>
      </c>
      <c r="H6" s="26" t="s">
        <v>89</v>
      </c>
      <c r="I6" s="34">
        <f t="shared" si="0"/>
        <v>59</v>
      </c>
      <c r="J6" s="1"/>
      <c r="K6" s="2"/>
      <c r="L6" s="1"/>
    </row>
    <row r="7" spans="1:13" ht="15.75" x14ac:dyDescent="0.25">
      <c r="A7" s="56">
        <v>6</v>
      </c>
      <c r="B7" s="6"/>
      <c r="C7" s="3"/>
      <c r="D7" s="3"/>
      <c r="E7" s="3">
        <v>5.4</v>
      </c>
      <c r="F7" s="3"/>
      <c r="G7" s="3"/>
      <c r="H7" s="26" t="s">
        <v>90</v>
      </c>
      <c r="I7" s="34">
        <f t="shared" si="0"/>
        <v>5.4</v>
      </c>
      <c r="J7" s="1"/>
      <c r="K7" s="2"/>
      <c r="L7" s="1"/>
      <c r="M7" s="81"/>
    </row>
    <row r="8" spans="1:13" ht="15.75" x14ac:dyDescent="0.25">
      <c r="A8" s="17">
        <v>7</v>
      </c>
      <c r="B8" s="6"/>
      <c r="C8" s="3">
        <v>0.5</v>
      </c>
      <c r="D8" s="3"/>
      <c r="E8" s="3"/>
      <c r="F8" s="3"/>
      <c r="G8" s="3"/>
      <c r="H8" s="26"/>
      <c r="I8" s="34">
        <f t="shared" si="0"/>
        <v>0.5</v>
      </c>
      <c r="J8" s="1"/>
      <c r="K8" s="2"/>
      <c r="L8" s="1"/>
      <c r="M8" s="81"/>
    </row>
    <row r="9" spans="1:13" ht="15.75" x14ac:dyDescent="0.25">
      <c r="A9" s="17">
        <v>8</v>
      </c>
      <c r="B9" s="6"/>
      <c r="C9" s="3">
        <v>0.5</v>
      </c>
      <c r="D9" s="3"/>
      <c r="E9" s="3"/>
      <c r="F9" s="3"/>
      <c r="G9" s="3"/>
      <c r="H9" s="26"/>
      <c r="I9" s="34">
        <f t="shared" si="0"/>
        <v>0.5</v>
      </c>
      <c r="J9" s="1"/>
      <c r="K9" s="2"/>
      <c r="L9" s="1"/>
      <c r="M9" s="81"/>
    </row>
    <row r="10" spans="1:13" ht="15.75" x14ac:dyDescent="0.25">
      <c r="A10" s="17">
        <v>9</v>
      </c>
      <c r="B10" s="6"/>
      <c r="C10" s="3">
        <v>0.5</v>
      </c>
      <c r="D10" s="3"/>
      <c r="E10" s="3"/>
      <c r="F10" s="3"/>
      <c r="G10" s="3"/>
      <c r="H10" s="26"/>
      <c r="I10" s="34">
        <f t="shared" si="0"/>
        <v>0.5</v>
      </c>
      <c r="J10" s="1"/>
      <c r="K10" s="2"/>
      <c r="L10" s="80"/>
      <c r="M10" s="81"/>
    </row>
    <row r="11" spans="1:13" ht="15.75" x14ac:dyDescent="0.25">
      <c r="A11" s="17">
        <v>10</v>
      </c>
      <c r="B11" s="6"/>
      <c r="C11" s="3">
        <v>0.5</v>
      </c>
      <c r="D11" s="3"/>
      <c r="E11" s="3"/>
      <c r="F11" s="3"/>
      <c r="G11" s="3"/>
      <c r="H11" s="26"/>
      <c r="I11" s="34">
        <f t="shared" si="0"/>
        <v>0.5</v>
      </c>
      <c r="J11" s="1"/>
      <c r="K11" s="2"/>
      <c r="L11" s="1"/>
    </row>
    <row r="12" spans="1:13" ht="16.5" thickBot="1" x14ac:dyDescent="0.3">
      <c r="A12" s="17">
        <v>11</v>
      </c>
      <c r="B12" s="6"/>
      <c r="C12" s="3">
        <v>1</v>
      </c>
      <c r="D12" s="3"/>
      <c r="E12" s="3"/>
      <c r="F12" s="3"/>
      <c r="G12" s="3"/>
      <c r="H12" s="26"/>
      <c r="I12" s="34">
        <f t="shared" si="0"/>
        <v>1</v>
      </c>
      <c r="J12" s="1"/>
      <c r="K12" s="2"/>
      <c r="L12" s="1"/>
      <c r="M12" s="81"/>
    </row>
    <row r="13" spans="1:13" ht="16.5" thickBot="1" x14ac:dyDescent="0.3">
      <c r="A13" s="56">
        <v>12</v>
      </c>
      <c r="B13" s="6">
        <v>5.5</v>
      </c>
      <c r="C13" s="3">
        <v>6.5</v>
      </c>
      <c r="D13" s="3"/>
      <c r="E13" s="3">
        <f>24+27</f>
        <v>51</v>
      </c>
      <c r="F13" s="3"/>
      <c r="G13" s="3">
        <v>5</v>
      </c>
      <c r="H13" s="26"/>
      <c r="I13" s="34">
        <f t="shared" si="0"/>
        <v>68</v>
      </c>
      <c r="J13" s="1"/>
      <c r="K13" s="83" t="s">
        <v>6</v>
      </c>
      <c r="L13" s="21">
        <v>916.5</v>
      </c>
      <c r="M13" s="82"/>
    </row>
    <row r="14" spans="1:13" ht="15.75" x14ac:dyDescent="0.25">
      <c r="A14" s="56">
        <v>13</v>
      </c>
      <c r="B14" s="6"/>
      <c r="C14" s="3"/>
      <c r="D14" s="3"/>
      <c r="E14" s="3"/>
      <c r="F14" s="3"/>
      <c r="G14" s="3"/>
      <c r="H14" s="26"/>
      <c r="I14" s="34">
        <f t="shared" si="0"/>
        <v>0</v>
      </c>
      <c r="J14" s="1"/>
      <c r="K14" s="84" t="s">
        <v>7</v>
      </c>
      <c r="L14" s="86">
        <f>SUM(B33:H33)+K2+L2</f>
        <v>807.90000000000009</v>
      </c>
      <c r="M14" s="89">
        <f>L14*100/L13/100</f>
        <v>0.88150572831423912</v>
      </c>
    </row>
    <row r="15" spans="1:13" ht="15.75" x14ac:dyDescent="0.25">
      <c r="A15" s="17">
        <v>14</v>
      </c>
      <c r="B15" s="6">
        <v>22</v>
      </c>
      <c r="C15" s="3"/>
      <c r="D15" s="3">
        <v>40</v>
      </c>
      <c r="E15" s="3"/>
      <c r="F15" s="3"/>
      <c r="G15" s="3"/>
      <c r="H15" s="26"/>
      <c r="I15" s="34">
        <f t="shared" si="0"/>
        <v>62</v>
      </c>
      <c r="J15" s="1"/>
      <c r="K15" s="13"/>
      <c r="L15" s="87"/>
      <c r="M15" s="88"/>
    </row>
    <row r="16" spans="1:13" ht="16.5" thickBot="1" x14ac:dyDescent="0.3">
      <c r="A16" s="17">
        <v>15</v>
      </c>
      <c r="B16" s="6"/>
      <c r="C16" s="3">
        <v>9.3000000000000007</v>
      </c>
      <c r="D16" s="3"/>
      <c r="E16" s="3"/>
      <c r="F16" s="3"/>
      <c r="G16" s="3">
        <v>7.95</v>
      </c>
      <c r="H16" s="26" t="s">
        <v>91</v>
      </c>
      <c r="I16" s="34">
        <f t="shared" si="0"/>
        <v>17.25</v>
      </c>
      <c r="J16" s="1"/>
      <c r="K16" s="85" t="s">
        <v>8</v>
      </c>
      <c r="L16" s="11">
        <f>L13-L14</f>
        <v>108.59999999999991</v>
      </c>
      <c r="M16" s="90">
        <f>(L16*100/L13)/100</f>
        <v>0.11849427168576096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>
        <v>50</v>
      </c>
      <c r="H17" s="26" t="s">
        <v>33</v>
      </c>
      <c r="I17" s="34">
        <f t="shared" si="0"/>
        <v>50</v>
      </c>
      <c r="J17" s="1"/>
      <c r="K17" s="1"/>
      <c r="L17" s="1"/>
    </row>
    <row r="18" spans="1:12" ht="15.75" x14ac:dyDescent="0.25">
      <c r="A18" s="17">
        <v>17</v>
      </c>
      <c r="B18" s="6"/>
      <c r="C18" s="3">
        <f>30</f>
        <v>30</v>
      </c>
      <c r="D18" s="3"/>
      <c r="E18" s="3"/>
      <c r="F18" s="3"/>
      <c r="G18" s="3"/>
      <c r="H18" s="26" t="s">
        <v>92</v>
      </c>
      <c r="I18" s="34">
        <f t="shared" si="0"/>
        <v>30</v>
      </c>
      <c r="J18" s="1"/>
      <c r="K18" s="1"/>
      <c r="L18" s="1"/>
    </row>
    <row r="19" spans="1:12" ht="15.75" x14ac:dyDescent="0.25">
      <c r="A19" s="17">
        <v>18</v>
      </c>
      <c r="B19" s="6"/>
      <c r="C19" s="3">
        <v>2</v>
      </c>
      <c r="D19" s="3"/>
      <c r="E19" s="3">
        <v>5</v>
      </c>
      <c r="F19" s="3"/>
      <c r="G19" s="3"/>
      <c r="H19" s="26"/>
      <c r="I19" s="34">
        <f t="shared" si="0"/>
        <v>7</v>
      </c>
      <c r="J19" s="1"/>
      <c r="K19" s="1"/>
      <c r="L19" s="1"/>
    </row>
    <row r="20" spans="1:12" ht="15.75" x14ac:dyDescent="0.25">
      <c r="A20" s="56">
        <v>19</v>
      </c>
      <c r="B20" s="6"/>
      <c r="C20" s="3">
        <v>20</v>
      </c>
      <c r="D20" s="3"/>
      <c r="E20" s="3">
        <v>5</v>
      </c>
      <c r="F20" s="3"/>
      <c r="G20" s="3" t="s">
        <v>93</v>
      </c>
      <c r="H20" s="26" t="s">
        <v>94</v>
      </c>
      <c r="I20" s="34">
        <f t="shared" si="0"/>
        <v>25</v>
      </c>
      <c r="J20" s="1"/>
      <c r="K20" s="1"/>
      <c r="L20" s="1"/>
    </row>
    <row r="21" spans="1:12" ht="15.75" x14ac:dyDescent="0.25">
      <c r="A21" s="56">
        <v>20</v>
      </c>
      <c r="B21" s="6"/>
      <c r="C21" s="3"/>
      <c r="D21" s="3"/>
      <c r="E21" s="3">
        <f>13.5+2.5</f>
        <v>16</v>
      </c>
      <c r="F21" s="3"/>
      <c r="G21" s="3"/>
      <c r="H21" s="26"/>
      <c r="I21" s="34">
        <f t="shared" si="0"/>
        <v>16</v>
      </c>
      <c r="J21" s="1"/>
      <c r="K21" s="1"/>
      <c r="L21" s="1"/>
    </row>
    <row r="22" spans="1:12" ht="15.75" x14ac:dyDescent="0.25">
      <c r="A22" s="17">
        <v>21</v>
      </c>
      <c r="B22" s="6"/>
      <c r="C22" s="3">
        <v>0.5</v>
      </c>
      <c r="D22" s="3"/>
      <c r="E22" s="3"/>
      <c r="F22" s="3"/>
      <c r="G22" s="3"/>
      <c r="H22" s="26"/>
      <c r="I22" s="34">
        <f t="shared" si="0"/>
        <v>0.5</v>
      </c>
      <c r="J22" s="1"/>
      <c r="K22" s="1"/>
      <c r="L22" s="1"/>
    </row>
    <row r="23" spans="1:12" ht="15.75" x14ac:dyDescent="0.25">
      <c r="A23" s="17">
        <v>22</v>
      </c>
      <c r="B23" s="6"/>
      <c r="C23" s="3">
        <v>0.5</v>
      </c>
      <c r="D23" s="3"/>
      <c r="E23" s="3"/>
      <c r="F23" s="3"/>
      <c r="G23" s="3"/>
      <c r="H23" s="26"/>
      <c r="I23" s="34">
        <f t="shared" si="0"/>
        <v>0.5</v>
      </c>
      <c r="J23" s="1"/>
      <c r="K23" s="1"/>
      <c r="L23" s="1"/>
    </row>
    <row r="24" spans="1:12" ht="15.75" x14ac:dyDescent="0.25">
      <c r="A24" s="17">
        <v>23</v>
      </c>
      <c r="B24" s="6"/>
      <c r="C24" s="3">
        <v>0.5</v>
      </c>
      <c r="D24" s="3"/>
      <c r="E24" s="3"/>
      <c r="F24" s="3"/>
      <c r="G24" s="3"/>
      <c r="H24" s="26"/>
      <c r="I24" s="34">
        <f t="shared" si="0"/>
        <v>0.5</v>
      </c>
      <c r="J24" s="1"/>
      <c r="K24" s="1"/>
      <c r="L24" s="1"/>
    </row>
    <row r="25" spans="1:12" ht="15.75" x14ac:dyDescent="0.25">
      <c r="A25" s="17">
        <v>24</v>
      </c>
      <c r="B25" s="6"/>
      <c r="C25" s="3">
        <v>0.5</v>
      </c>
      <c r="D25" s="3"/>
      <c r="E25" s="3"/>
      <c r="F25" s="3"/>
      <c r="G25" s="3"/>
      <c r="H25" s="26"/>
      <c r="I25" s="34">
        <f t="shared" si="0"/>
        <v>0.5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>
        <v>13.75</v>
      </c>
      <c r="F26" s="3">
        <v>5</v>
      </c>
      <c r="G26" s="3"/>
      <c r="H26" s="26"/>
      <c r="I26" s="34">
        <f t="shared" si="0"/>
        <v>18.75</v>
      </c>
      <c r="J26" s="1"/>
      <c r="K26" s="1"/>
      <c r="L26" s="1"/>
    </row>
    <row r="27" spans="1:12" ht="15.75" x14ac:dyDescent="0.25">
      <c r="A27" s="56">
        <v>26</v>
      </c>
      <c r="B27" s="6"/>
      <c r="C27" s="3">
        <v>35</v>
      </c>
      <c r="D27" s="3"/>
      <c r="E27" s="3"/>
      <c r="F27" s="3">
        <f>5+5</f>
        <v>10</v>
      </c>
      <c r="G27" s="3"/>
      <c r="H27" s="26" t="s">
        <v>75</v>
      </c>
      <c r="I27" s="34">
        <f t="shared" si="0"/>
        <v>45</v>
      </c>
      <c r="J27" s="1"/>
      <c r="K27" s="1"/>
      <c r="L27" s="1"/>
    </row>
    <row r="28" spans="1:12" ht="15.75" x14ac:dyDescent="0.25">
      <c r="A28" s="56">
        <v>27</v>
      </c>
      <c r="B28" s="6"/>
      <c r="C28" s="3"/>
      <c r="D28" s="3"/>
      <c r="E28" s="3">
        <v>13.5</v>
      </c>
      <c r="F28" s="3"/>
      <c r="G28" s="3"/>
      <c r="H28" s="26"/>
      <c r="I28" s="34">
        <f t="shared" si="0"/>
        <v>13.5</v>
      </c>
      <c r="J28" s="1"/>
      <c r="K28" s="1"/>
      <c r="L28" s="1"/>
    </row>
    <row r="29" spans="1:12" ht="15.75" x14ac:dyDescent="0.25">
      <c r="A29" s="17">
        <v>28</v>
      </c>
      <c r="B29" s="6"/>
      <c r="C29" s="3">
        <v>1</v>
      </c>
      <c r="D29" s="3"/>
      <c r="E29" s="3"/>
      <c r="F29" s="3"/>
      <c r="G29" s="3"/>
      <c r="H29" s="26"/>
      <c r="I29" s="34">
        <f t="shared" si="0"/>
        <v>1</v>
      </c>
      <c r="J29" s="1"/>
      <c r="K29" s="1"/>
      <c r="L29" s="1"/>
    </row>
    <row r="30" spans="1:12" ht="15.75" x14ac:dyDescent="0.25">
      <c r="A30" s="17">
        <v>29</v>
      </c>
      <c r="B30" s="6"/>
      <c r="C30" s="3">
        <v>1</v>
      </c>
      <c r="D30" s="3"/>
      <c r="E30" s="3"/>
      <c r="F30" s="3"/>
      <c r="G30" s="3"/>
      <c r="H30" s="26"/>
      <c r="I30" s="34">
        <f t="shared" si="0"/>
        <v>1</v>
      </c>
      <c r="J30" s="1"/>
      <c r="K30" s="1"/>
      <c r="L30" s="1"/>
    </row>
    <row r="31" spans="1:12" ht="15.75" x14ac:dyDescent="0.25">
      <c r="A31" s="17">
        <v>30</v>
      </c>
      <c r="B31" s="6"/>
      <c r="C31" s="3">
        <v>1</v>
      </c>
      <c r="D31" s="3"/>
      <c r="E31" s="3"/>
      <c r="F31" s="3"/>
      <c r="G31" s="3"/>
      <c r="H31" s="26"/>
      <c r="I31" s="34">
        <f t="shared" si="0"/>
        <v>1</v>
      </c>
      <c r="J31" s="1"/>
      <c r="K31" s="1"/>
      <c r="L31" s="1"/>
    </row>
    <row r="32" spans="1:12" ht="16.5" thickBot="1" x14ac:dyDescent="0.3">
      <c r="A32" s="19">
        <v>31</v>
      </c>
      <c r="B32" s="7"/>
      <c r="C32" s="8">
        <v>1</v>
      </c>
      <c r="D32" s="8"/>
      <c r="E32" s="8"/>
      <c r="F32" s="8"/>
      <c r="G32" s="8"/>
      <c r="H32" s="27"/>
      <c r="I32" s="34">
        <f t="shared" si="0"/>
        <v>1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51.5</v>
      </c>
      <c r="C33" s="29">
        <f>SUM(C2:C32)</f>
        <v>128.80000000000001</v>
      </c>
      <c r="D33" s="28">
        <f t="shared" ref="D33:H33" si="1">SUM(D2:D32)</f>
        <v>40</v>
      </c>
      <c r="E33" s="29">
        <f t="shared" si="1"/>
        <v>109.65</v>
      </c>
      <c r="F33" s="29">
        <f t="shared" si="1"/>
        <v>20</v>
      </c>
      <c r="G33" s="28">
        <f t="shared" si="1"/>
        <v>155.94999999999999</v>
      </c>
      <c r="H33" s="29">
        <f t="shared" si="1"/>
        <v>0</v>
      </c>
      <c r="I33" s="33">
        <f>SUM(I2:I32)</f>
        <v>505.9</v>
      </c>
    </row>
  </sheetData>
  <conditionalFormatting sqref="L16">
    <cfRule type="cellIs" dxfId="7" priority="1" operator="lessThan">
      <formula>0</formula>
    </cfRule>
    <cfRule type="cellIs" dxfId="6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3"/>
  <sheetViews>
    <sheetView workbookViewId="0">
      <selection activeCell="L2" sqref="L2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4" t="s">
        <v>27</v>
      </c>
    </row>
    <row r="2" spans="1:13" ht="16.5" thickBot="1" x14ac:dyDescent="0.3">
      <c r="A2" s="18">
        <v>1</v>
      </c>
      <c r="B2" s="59"/>
      <c r="C2" s="57">
        <v>1</v>
      </c>
      <c r="D2" s="5"/>
      <c r="E2" s="4"/>
      <c r="F2" s="4"/>
      <c r="G2" s="4">
        <v>87.5</v>
      </c>
      <c r="H2" s="25" t="s">
        <v>73</v>
      </c>
      <c r="I2" s="34">
        <f>SUM(B2:H2)</f>
        <v>88.5</v>
      </c>
      <c r="J2" s="95"/>
      <c r="K2" s="96">
        <v>250</v>
      </c>
      <c r="L2" s="16">
        <f>66.21+12+1</f>
        <v>79.209999999999994</v>
      </c>
    </row>
    <row r="3" spans="1:13" ht="15.75" x14ac:dyDescent="0.25">
      <c r="A3" s="17">
        <v>2</v>
      </c>
      <c r="B3" s="6"/>
      <c r="C3" s="4">
        <f>1+39.54</f>
        <v>40.54</v>
      </c>
      <c r="D3" s="3"/>
      <c r="E3" s="3"/>
      <c r="F3" s="3"/>
      <c r="G3" s="3"/>
      <c r="H3" s="26"/>
      <c r="I3" s="34">
        <f t="shared" ref="I3:I32" si="0">SUM(B3:H3)</f>
        <v>40.54</v>
      </c>
      <c r="J3" s="91"/>
      <c r="K3" s="92"/>
      <c r="L3" s="93"/>
      <c r="M3" s="81"/>
    </row>
    <row r="4" spans="1:13" ht="15.75" x14ac:dyDescent="0.25">
      <c r="A4" s="56">
        <v>3</v>
      </c>
      <c r="B4" s="6"/>
      <c r="C4" s="3"/>
      <c r="D4" s="3"/>
      <c r="E4" s="3"/>
      <c r="F4" s="3"/>
      <c r="G4" s="3"/>
      <c r="H4" s="26"/>
      <c r="I4" s="34">
        <f t="shared" si="0"/>
        <v>0</v>
      </c>
      <c r="J4" s="1"/>
      <c r="K4" s="2"/>
      <c r="L4" s="1"/>
    </row>
    <row r="5" spans="1:13" ht="15.75" x14ac:dyDescent="0.25">
      <c r="A5" s="56">
        <v>4</v>
      </c>
      <c r="B5" s="6"/>
      <c r="C5" s="3"/>
      <c r="D5" s="3"/>
      <c r="E5" s="3"/>
      <c r="F5" s="3"/>
      <c r="G5" s="3"/>
      <c r="H5" s="26"/>
      <c r="I5" s="34">
        <f t="shared" si="0"/>
        <v>0</v>
      </c>
      <c r="J5" s="1"/>
      <c r="K5" s="2"/>
      <c r="L5" s="1"/>
    </row>
    <row r="6" spans="1:13" ht="15.75" x14ac:dyDescent="0.25">
      <c r="A6" s="17">
        <v>5</v>
      </c>
      <c r="B6" s="6"/>
      <c r="C6" s="3">
        <v>1</v>
      </c>
      <c r="D6" s="3"/>
      <c r="E6" s="3"/>
      <c r="F6" s="3"/>
      <c r="G6" s="3"/>
      <c r="H6" s="26"/>
      <c r="I6" s="34">
        <f t="shared" si="0"/>
        <v>1</v>
      </c>
      <c r="J6" s="1"/>
      <c r="K6" s="2"/>
      <c r="L6" s="1"/>
    </row>
    <row r="7" spans="1:13" ht="15.75" x14ac:dyDescent="0.25">
      <c r="A7" s="17">
        <v>6</v>
      </c>
      <c r="B7" s="6"/>
      <c r="C7" s="3">
        <v>1</v>
      </c>
      <c r="D7" s="3"/>
      <c r="E7" s="3"/>
      <c r="F7" s="3"/>
      <c r="G7" s="3"/>
      <c r="H7" s="26"/>
      <c r="I7" s="34">
        <f t="shared" si="0"/>
        <v>1</v>
      </c>
      <c r="J7" s="1"/>
      <c r="K7" s="2"/>
      <c r="L7" s="1"/>
      <c r="M7" s="81"/>
    </row>
    <row r="8" spans="1:13" ht="15.75" x14ac:dyDescent="0.25">
      <c r="A8" s="17">
        <v>7</v>
      </c>
      <c r="B8" s="6"/>
      <c r="C8" s="3">
        <v>1</v>
      </c>
      <c r="D8" s="3"/>
      <c r="E8" s="3"/>
      <c r="F8" s="3"/>
      <c r="G8" s="3"/>
      <c r="H8" s="26"/>
      <c r="I8" s="34">
        <f t="shared" si="0"/>
        <v>1</v>
      </c>
      <c r="J8" s="1"/>
      <c r="K8" s="2"/>
      <c r="L8" s="1"/>
      <c r="M8" s="81"/>
    </row>
    <row r="9" spans="1:13" ht="15.75" x14ac:dyDescent="0.25">
      <c r="A9" s="17">
        <v>8</v>
      </c>
      <c r="B9" s="6"/>
      <c r="C9" s="3">
        <f>1.49+0.5</f>
        <v>1.99</v>
      </c>
      <c r="D9" s="3"/>
      <c r="E9" s="3"/>
      <c r="F9" s="3"/>
      <c r="G9" s="3"/>
      <c r="H9" s="26"/>
      <c r="I9" s="34">
        <f t="shared" si="0"/>
        <v>1.99</v>
      </c>
      <c r="J9" s="1"/>
      <c r="K9" s="2"/>
      <c r="L9" s="1"/>
      <c r="M9" s="81"/>
    </row>
    <row r="10" spans="1:13" ht="15.75" x14ac:dyDescent="0.25">
      <c r="A10" s="17">
        <v>9</v>
      </c>
      <c r="B10" s="6"/>
      <c r="C10" s="3">
        <v>0.5</v>
      </c>
      <c r="D10" s="3"/>
      <c r="E10" s="3"/>
      <c r="F10" s="3"/>
      <c r="G10" s="3"/>
      <c r="H10" s="26"/>
      <c r="I10" s="34">
        <f t="shared" si="0"/>
        <v>0.5</v>
      </c>
      <c r="J10" s="1"/>
      <c r="K10" s="2"/>
      <c r="L10" s="80"/>
      <c r="M10" s="81"/>
    </row>
    <row r="11" spans="1:13" ht="15.75" x14ac:dyDescent="0.25">
      <c r="A11" s="56">
        <v>10</v>
      </c>
      <c r="B11" s="6">
        <v>25</v>
      </c>
      <c r="C11" s="3"/>
      <c r="D11" s="3"/>
      <c r="E11" s="3"/>
      <c r="F11" s="3"/>
      <c r="G11" s="3"/>
      <c r="H11" s="26"/>
      <c r="I11" s="34">
        <f t="shared" si="0"/>
        <v>25</v>
      </c>
      <c r="J11" s="1"/>
      <c r="K11" s="2"/>
      <c r="L11" s="1"/>
    </row>
    <row r="12" spans="1:13" ht="16.5" thickBot="1" x14ac:dyDescent="0.3">
      <c r="A12" s="56">
        <v>11</v>
      </c>
      <c r="B12" s="6"/>
      <c r="C12" s="3"/>
      <c r="D12" s="3"/>
      <c r="E12" s="3"/>
      <c r="F12" s="3"/>
      <c r="G12" s="3"/>
      <c r="H12" s="26"/>
      <c r="I12" s="34">
        <f t="shared" si="0"/>
        <v>0</v>
      </c>
      <c r="J12" s="1"/>
      <c r="K12" s="2"/>
      <c r="L12" s="1"/>
      <c r="M12" s="81"/>
    </row>
    <row r="13" spans="1:13" ht="16.5" thickBot="1" x14ac:dyDescent="0.3">
      <c r="A13" s="17">
        <v>12</v>
      </c>
      <c r="B13" s="6"/>
      <c r="C13" s="3">
        <v>0.5</v>
      </c>
      <c r="D13" s="3"/>
      <c r="E13" s="3"/>
      <c r="F13" s="3"/>
      <c r="G13" s="3"/>
      <c r="H13" s="26"/>
      <c r="I13" s="34">
        <f t="shared" si="0"/>
        <v>0.5</v>
      </c>
      <c r="J13" s="1"/>
      <c r="K13" s="83" t="s">
        <v>6</v>
      </c>
      <c r="L13" s="21">
        <v>939.5</v>
      </c>
      <c r="M13" s="82"/>
    </row>
    <row r="14" spans="1:13" ht="15.75" x14ac:dyDescent="0.25">
      <c r="A14" s="17">
        <v>13</v>
      </c>
      <c r="B14" s="6"/>
      <c r="C14" s="3">
        <v>0.5</v>
      </c>
      <c r="D14" s="3"/>
      <c r="E14" s="3"/>
      <c r="F14" s="3"/>
      <c r="G14" s="3"/>
      <c r="H14" s="26"/>
      <c r="I14" s="34">
        <f t="shared" si="0"/>
        <v>0.5</v>
      </c>
      <c r="J14" s="1"/>
      <c r="K14" s="84" t="s">
        <v>7</v>
      </c>
      <c r="L14" s="86">
        <f>SUM(B33:H33)+K2+L2</f>
        <v>738.49</v>
      </c>
      <c r="M14" s="89">
        <f>L14*100/L13/100</f>
        <v>0.7860457690260777</v>
      </c>
    </row>
    <row r="15" spans="1:13" ht="15.75" x14ac:dyDescent="0.25">
      <c r="A15" s="17">
        <v>14</v>
      </c>
      <c r="B15" s="6"/>
      <c r="C15" s="3">
        <v>0.5</v>
      </c>
      <c r="D15" s="3"/>
      <c r="E15" s="3"/>
      <c r="F15" s="3"/>
      <c r="G15" s="3">
        <v>50</v>
      </c>
      <c r="H15" s="26" t="s">
        <v>33</v>
      </c>
      <c r="I15" s="34">
        <f t="shared" si="0"/>
        <v>50.5</v>
      </c>
      <c r="J15" s="1"/>
      <c r="K15" s="13"/>
      <c r="L15" s="87"/>
      <c r="M15" s="88"/>
    </row>
    <row r="16" spans="1:13" ht="16.5" thickBot="1" x14ac:dyDescent="0.3">
      <c r="A16" s="17">
        <v>15</v>
      </c>
      <c r="B16" s="6"/>
      <c r="C16" s="3">
        <v>0.5</v>
      </c>
      <c r="D16" s="3"/>
      <c r="E16" s="3"/>
      <c r="F16" s="3"/>
      <c r="G16" s="3">
        <f>8.5+8</f>
        <v>16.5</v>
      </c>
      <c r="H16" s="26" t="s">
        <v>96</v>
      </c>
      <c r="I16" s="34">
        <f t="shared" si="0"/>
        <v>17</v>
      </c>
      <c r="J16" s="1"/>
      <c r="K16" s="85" t="s">
        <v>8</v>
      </c>
      <c r="L16" s="11">
        <f>L13-L14</f>
        <v>201.01</v>
      </c>
      <c r="M16" s="90">
        <f>(L16*100/L13)/100</f>
        <v>0.2139542309739223</v>
      </c>
    </row>
    <row r="17" spans="1:12" ht="15.75" x14ac:dyDescent="0.25">
      <c r="A17" s="17">
        <v>16</v>
      </c>
      <c r="B17" s="6"/>
      <c r="C17" s="3">
        <v>0.5</v>
      </c>
      <c r="D17" s="3"/>
      <c r="E17" s="3">
        <v>13.75</v>
      </c>
      <c r="F17" s="3">
        <v>5</v>
      </c>
      <c r="G17" s="3"/>
      <c r="H17" s="26"/>
      <c r="I17" s="34">
        <f t="shared" si="0"/>
        <v>19.25</v>
      </c>
      <c r="J17" s="1"/>
      <c r="K17" s="1"/>
      <c r="L17" s="1"/>
    </row>
    <row r="18" spans="1:12" ht="15.75" x14ac:dyDescent="0.25">
      <c r="A18" s="56">
        <v>17</v>
      </c>
      <c r="B18" s="6"/>
      <c r="C18" s="3">
        <v>20</v>
      </c>
      <c r="D18" s="3"/>
      <c r="E18" s="3"/>
      <c r="F18" s="3">
        <v>3</v>
      </c>
      <c r="G18" s="3"/>
      <c r="H18" s="26"/>
      <c r="I18" s="34">
        <f t="shared" si="0"/>
        <v>23</v>
      </c>
      <c r="J18" s="1"/>
      <c r="K18" s="1"/>
      <c r="L18" s="1"/>
    </row>
    <row r="19" spans="1:12" ht="15.75" x14ac:dyDescent="0.25">
      <c r="A19" s="56">
        <v>18</v>
      </c>
      <c r="B19" s="6"/>
      <c r="C19" s="3"/>
      <c r="D19" s="3"/>
      <c r="E19" s="3">
        <v>13</v>
      </c>
      <c r="F19" s="3">
        <v>2</v>
      </c>
      <c r="G19" s="3"/>
      <c r="H19" s="26"/>
      <c r="I19" s="34">
        <f t="shared" si="0"/>
        <v>15</v>
      </c>
      <c r="J19" s="1"/>
      <c r="K19" s="1"/>
      <c r="L19" s="1"/>
    </row>
    <row r="20" spans="1:12" ht="15.75" x14ac:dyDescent="0.25">
      <c r="A20" s="17">
        <v>19</v>
      </c>
      <c r="B20" s="6"/>
      <c r="C20" s="3">
        <v>1.25</v>
      </c>
      <c r="D20" s="3"/>
      <c r="E20" s="3"/>
      <c r="F20" s="3"/>
      <c r="G20" s="3"/>
      <c r="H20" s="26"/>
      <c r="I20" s="34">
        <f t="shared" si="0"/>
        <v>1.25</v>
      </c>
      <c r="J20" s="1"/>
      <c r="K20" s="1"/>
      <c r="L20" s="1"/>
    </row>
    <row r="21" spans="1:12" ht="15.75" x14ac:dyDescent="0.25">
      <c r="A21" s="17">
        <v>20</v>
      </c>
      <c r="B21" s="6">
        <v>7</v>
      </c>
      <c r="C21" s="3">
        <v>1</v>
      </c>
      <c r="D21" s="3"/>
      <c r="E21" s="3"/>
      <c r="F21" s="3"/>
      <c r="G21" s="3"/>
      <c r="H21" s="26"/>
      <c r="I21" s="34">
        <f t="shared" si="0"/>
        <v>8</v>
      </c>
      <c r="J21" s="1"/>
      <c r="K21" s="1"/>
      <c r="L21" s="1"/>
    </row>
    <row r="22" spans="1:12" ht="15.75" x14ac:dyDescent="0.25">
      <c r="A22" s="17">
        <v>21</v>
      </c>
      <c r="B22" s="6"/>
      <c r="C22" s="3">
        <v>0.5</v>
      </c>
      <c r="D22" s="3"/>
      <c r="E22" s="3"/>
      <c r="F22" s="3"/>
      <c r="G22" s="3"/>
      <c r="H22" s="26"/>
      <c r="I22" s="34">
        <f t="shared" si="0"/>
        <v>0.5</v>
      </c>
      <c r="J22" s="1"/>
      <c r="K22" s="1"/>
      <c r="L22" s="1"/>
    </row>
    <row r="23" spans="1:12" ht="15.75" x14ac:dyDescent="0.25">
      <c r="A23" s="17">
        <v>22</v>
      </c>
      <c r="B23" s="6"/>
      <c r="C23" s="3">
        <v>0.5</v>
      </c>
      <c r="D23" s="3"/>
      <c r="E23" s="3"/>
      <c r="F23" s="3"/>
      <c r="G23" s="3"/>
      <c r="H23" s="26"/>
      <c r="I23" s="34">
        <f t="shared" si="0"/>
        <v>0.5</v>
      </c>
      <c r="J23" s="1"/>
      <c r="K23" s="1"/>
      <c r="L23" s="1"/>
    </row>
    <row r="24" spans="1:12" ht="15.75" x14ac:dyDescent="0.25">
      <c r="A24" s="17">
        <v>23</v>
      </c>
      <c r="B24" s="6"/>
      <c r="C24" s="3">
        <v>0.25</v>
      </c>
      <c r="D24" s="3"/>
      <c r="E24" s="3"/>
      <c r="F24" s="3"/>
      <c r="G24" s="3"/>
      <c r="H24" s="26"/>
      <c r="I24" s="34">
        <f t="shared" si="0"/>
        <v>0.25</v>
      </c>
      <c r="J24" s="1"/>
      <c r="K24" s="1"/>
      <c r="L24" s="1"/>
    </row>
    <row r="25" spans="1:12" ht="15.75" x14ac:dyDescent="0.25">
      <c r="A25" s="56">
        <v>24</v>
      </c>
      <c r="B25" s="6"/>
      <c r="C25" s="3">
        <v>20</v>
      </c>
      <c r="D25" s="3"/>
      <c r="E25" s="3"/>
      <c r="F25" s="3">
        <v>15</v>
      </c>
      <c r="G25" s="3"/>
      <c r="H25" s="26"/>
      <c r="I25" s="34">
        <f t="shared" si="0"/>
        <v>35</v>
      </c>
      <c r="J25" s="1"/>
      <c r="K25" s="1"/>
      <c r="L25" s="1"/>
    </row>
    <row r="26" spans="1:12" ht="15.75" x14ac:dyDescent="0.25">
      <c r="A26" s="56">
        <v>25</v>
      </c>
      <c r="B26" s="6"/>
      <c r="C26" s="3">
        <v>13</v>
      </c>
      <c r="D26" s="3"/>
      <c r="E26" s="3"/>
      <c r="F26" s="3"/>
      <c r="G26" s="3"/>
      <c r="H26" s="26"/>
      <c r="I26" s="34">
        <f t="shared" si="0"/>
        <v>13</v>
      </c>
      <c r="J26" s="1"/>
      <c r="K26" s="1"/>
      <c r="L26" s="1"/>
    </row>
    <row r="27" spans="1:12" ht="15.75" x14ac:dyDescent="0.25">
      <c r="A27" s="17">
        <v>26</v>
      </c>
      <c r="B27" s="6"/>
      <c r="C27" s="3">
        <v>0.5</v>
      </c>
      <c r="D27" s="3"/>
      <c r="E27" s="3"/>
      <c r="F27" s="3"/>
      <c r="G27" s="3">
        <v>63</v>
      </c>
      <c r="H27" s="26"/>
      <c r="I27" s="34">
        <f t="shared" si="0"/>
        <v>63.5</v>
      </c>
      <c r="J27" s="1"/>
      <c r="K27" s="1"/>
      <c r="L27" s="1"/>
    </row>
    <row r="28" spans="1:12" ht="15.75" x14ac:dyDescent="0.25">
      <c r="A28" s="17">
        <v>27</v>
      </c>
      <c r="B28" s="6"/>
      <c r="C28" s="3">
        <v>0.5</v>
      </c>
      <c r="D28" s="3"/>
      <c r="E28" s="3"/>
      <c r="F28" s="3"/>
      <c r="G28" s="3"/>
      <c r="H28" s="26"/>
      <c r="I28" s="34">
        <f t="shared" si="0"/>
        <v>0.5</v>
      </c>
      <c r="J28" s="1"/>
      <c r="K28" s="1"/>
      <c r="L28" s="1"/>
    </row>
    <row r="29" spans="1:12" ht="15.75" x14ac:dyDescent="0.25">
      <c r="A29" s="17">
        <v>28</v>
      </c>
      <c r="B29" s="6"/>
      <c r="C29" s="3">
        <v>0.5</v>
      </c>
      <c r="D29" s="3"/>
      <c r="E29" s="3"/>
      <c r="F29" s="3"/>
      <c r="G29" s="3"/>
      <c r="H29" s="26"/>
      <c r="I29" s="34">
        <f t="shared" si="0"/>
        <v>0.5</v>
      </c>
      <c r="J29" s="1"/>
      <c r="K29" s="1"/>
      <c r="L29" s="1"/>
    </row>
    <row r="30" spans="1:12" ht="15.75" x14ac:dyDescent="0.25">
      <c r="A30" s="17">
        <v>29</v>
      </c>
      <c r="B30" s="6"/>
      <c r="C30" s="3">
        <v>0.5</v>
      </c>
      <c r="D30" s="3"/>
      <c r="E30" s="3"/>
      <c r="F30" s="3"/>
      <c r="G30" s="3"/>
      <c r="H30" s="26"/>
      <c r="I30" s="34">
        <f t="shared" si="0"/>
        <v>0.5</v>
      </c>
      <c r="J30" s="1"/>
      <c r="K30" s="1"/>
      <c r="L30" s="1"/>
    </row>
    <row r="31" spans="1:12" ht="15.75" x14ac:dyDescent="0.25">
      <c r="A31" s="17">
        <v>30</v>
      </c>
      <c r="B31" s="6"/>
      <c r="C31" s="3">
        <v>0.5</v>
      </c>
      <c r="D31" s="3"/>
      <c r="E31" s="3"/>
      <c r="F31" s="3"/>
      <c r="G31" s="3"/>
      <c r="H31" s="26"/>
      <c r="I31" s="34">
        <f t="shared" si="0"/>
        <v>0.5</v>
      </c>
      <c r="J31" s="1"/>
      <c r="K31" s="1"/>
      <c r="L31" s="1"/>
    </row>
    <row r="32" spans="1:12" ht="16.5" thickBot="1" x14ac:dyDescent="0.3">
      <c r="A32" s="56">
        <v>31</v>
      </c>
      <c r="B32" s="7"/>
      <c r="C32" s="8"/>
      <c r="D32" s="8"/>
      <c r="E32" s="8"/>
      <c r="F32" s="8"/>
      <c r="G32" s="8"/>
      <c r="H32" s="27"/>
      <c r="I32" s="34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32</v>
      </c>
      <c r="C33" s="29">
        <f>SUM(C2:C32)</f>
        <v>108.53</v>
      </c>
      <c r="D33" s="28">
        <f t="shared" ref="D33:H33" si="1">SUM(D2:D32)</f>
        <v>0</v>
      </c>
      <c r="E33" s="29">
        <f t="shared" si="1"/>
        <v>26.75</v>
      </c>
      <c r="F33" s="29">
        <f t="shared" si="1"/>
        <v>25</v>
      </c>
      <c r="G33" s="28">
        <f t="shared" si="1"/>
        <v>217</v>
      </c>
      <c r="H33" s="29">
        <f t="shared" si="1"/>
        <v>0</v>
      </c>
      <c r="I33" s="33">
        <f>SUM(I2:I32)</f>
        <v>409.28</v>
      </c>
    </row>
  </sheetData>
  <conditionalFormatting sqref="L1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3"/>
  <sheetViews>
    <sheetView topLeftCell="A8" workbookViewId="0">
      <selection activeCell="F32" sqref="F32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4" t="s">
        <v>27</v>
      </c>
    </row>
    <row r="2" spans="1:13" ht="16.5" thickBot="1" x14ac:dyDescent="0.3">
      <c r="A2" s="63">
        <v>1</v>
      </c>
      <c r="B2" s="59">
        <f>37.07-G2</f>
        <v>22.54</v>
      </c>
      <c r="C2" s="57"/>
      <c r="D2" s="5"/>
      <c r="E2" s="4"/>
      <c r="F2" s="4"/>
      <c r="G2" s="4">
        <f>2.89+0.59+2.09+6.27+2.69</f>
        <v>14.53</v>
      </c>
      <c r="H2" s="25" t="s">
        <v>30</v>
      </c>
      <c r="I2" s="34">
        <f>SUM(B2:H2)</f>
        <v>37.07</v>
      </c>
      <c r="J2" s="95"/>
      <c r="K2" s="96">
        <v>250</v>
      </c>
      <c r="L2" s="16">
        <f>12+1+72.5</f>
        <v>85.5</v>
      </c>
    </row>
    <row r="3" spans="1:13" ht="15.75" x14ac:dyDescent="0.25">
      <c r="A3" s="17">
        <v>2</v>
      </c>
      <c r="B3" s="6"/>
      <c r="C3" s="4">
        <v>0.5</v>
      </c>
      <c r="D3" s="3"/>
      <c r="E3" s="3"/>
      <c r="F3" s="3"/>
      <c r="G3" s="3"/>
      <c r="H3" s="26"/>
      <c r="I3" s="34">
        <f t="shared" ref="I3:I32" si="0">SUM(B3:H3)</f>
        <v>0.5</v>
      </c>
      <c r="J3" s="91"/>
      <c r="K3" s="92"/>
      <c r="L3" s="93"/>
      <c r="M3" s="81"/>
    </row>
    <row r="4" spans="1:13" ht="15.75" x14ac:dyDescent="0.25">
      <c r="A4" s="17">
        <v>3</v>
      </c>
      <c r="B4" s="6"/>
      <c r="C4" s="3">
        <v>0.5</v>
      </c>
      <c r="D4" s="3">
        <v>30</v>
      </c>
      <c r="E4" s="3"/>
      <c r="F4" s="3"/>
      <c r="G4" s="3"/>
      <c r="H4" s="26"/>
      <c r="I4" s="34">
        <f t="shared" si="0"/>
        <v>30.5</v>
      </c>
      <c r="J4" s="1"/>
      <c r="K4" s="2"/>
      <c r="L4" s="1"/>
    </row>
    <row r="5" spans="1:13" ht="15.75" x14ac:dyDescent="0.25">
      <c r="A5" s="17">
        <v>4</v>
      </c>
      <c r="B5" s="6"/>
      <c r="C5" s="3"/>
      <c r="D5" s="3"/>
      <c r="E5" s="3">
        <v>10</v>
      </c>
      <c r="F5" s="3"/>
      <c r="G5" s="3">
        <v>9.15</v>
      </c>
      <c r="H5" s="26" t="s">
        <v>91</v>
      </c>
      <c r="I5" s="34">
        <f t="shared" si="0"/>
        <v>19.149999999999999</v>
      </c>
      <c r="J5" s="1"/>
      <c r="K5" s="2"/>
      <c r="L5" s="1"/>
    </row>
    <row r="6" spans="1:13" ht="15.75" x14ac:dyDescent="0.25">
      <c r="A6" s="17">
        <v>5</v>
      </c>
      <c r="B6" s="6"/>
      <c r="C6" s="3"/>
      <c r="D6" s="3"/>
      <c r="E6" s="3"/>
      <c r="F6" s="3"/>
      <c r="G6" s="3"/>
      <c r="H6" s="26"/>
      <c r="I6" s="34">
        <f t="shared" si="0"/>
        <v>0</v>
      </c>
      <c r="J6" s="1"/>
      <c r="K6" s="2"/>
      <c r="L6" s="1"/>
    </row>
    <row r="7" spans="1:13" ht="15.75" x14ac:dyDescent="0.25">
      <c r="A7" s="17">
        <v>6</v>
      </c>
      <c r="B7" s="6"/>
      <c r="C7" s="3"/>
      <c r="D7" s="3"/>
      <c r="E7" s="3"/>
      <c r="F7" s="3"/>
      <c r="G7" s="3"/>
      <c r="H7" s="26"/>
      <c r="I7" s="34">
        <f t="shared" si="0"/>
        <v>0</v>
      </c>
      <c r="J7" s="1"/>
      <c r="K7" s="2"/>
      <c r="L7" s="1"/>
      <c r="M7" s="81"/>
    </row>
    <row r="8" spans="1:13" ht="15.75" x14ac:dyDescent="0.25">
      <c r="A8" s="56">
        <v>7</v>
      </c>
      <c r="B8" s="6"/>
      <c r="C8" s="3"/>
      <c r="D8" s="3"/>
      <c r="E8" s="3"/>
      <c r="F8" s="3">
        <v>1.9</v>
      </c>
      <c r="G8" s="3">
        <v>31</v>
      </c>
      <c r="H8" s="26" t="s">
        <v>97</v>
      </c>
      <c r="I8" s="34">
        <f t="shared" si="0"/>
        <v>32.9</v>
      </c>
      <c r="J8" s="1"/>
      <c r="K8" s="2"/>
      <c r="L8" s="1"/>
      <c r="M8" s="81"/>
    </row>
    <row r="9" spans="1:13" ht="15.75" x14ac:dyDescent="0.25">
      <c r="A9" s="56">
        <v>8</v>
      </c>
      <c r="B9" s="6"/>
      <c r="C9" s="3"/>
      <c r="D9" s="3"/>
      <c r="E9" s="3"/>
      <c r="F9" s="3">
        <v>1.9</v>
      </c>
      <c r="G9" s="3"/>
      <c r="H9" s="26"/>
      <c r="I9" s="34">
        <f t="shared" si="0"/>
        <v>1.9</v>
      </c>
      <c r="J9" s="1"/>
      <c r="K9" s="2"/>
      <c r="L9" s="1"/>
      <c r="M9" s="81"/>
    </row>
    <row r="10" spans="1:13" ht="15.75" x14ac:dyDescent="0.25">
      <c r="A10" s="17">
        <v>9</v>
      </c>
      <c r="B10" s="6"/>
      <c r="C10" s="3"/>
      <c r="D10" s="3"/>
      <c r="E10" s="3">
        <f>13.5+2.5</f>
        <v>16</v>
      </c>
      <c r="F10" s="3"/>
      <c r="G10" s="3"/>
      <c r="H10" s="26"/>
      <c r="I10" s="34">
        <f t="shared" si="0"/>
        <v>16</v>
      </c>
      <c r="J10" s="1"/>
      <c r="K10" s="2"/>
      <c r="L10" s="80"/>
      <c r="M10" s="81"/>
    </row>
    <row r="11" spans="1:13" ht="15.75" x14ac:dyDescent="0.25">
      <c r="A11" s="17">
        <v>10</v>
      </c>
      <c r="B11" s="6"/>
      <c r="C11" s="3">
        <v>0.25</v>
      </c>
      <c r="D11" s="3"/>
      <c r="E11" s="3"/>
      <c r="F11" s="3"/>
      <c r="G11" s="3"/>
      <c r="H11" s="26"/>
      <c r="I11" s="34">
        <f t="shared" si="0"/>
        <v>0.25</v>
      </c>
      <c r="J11" s="1"/>
      <c r="K11" s="2"/>
      <c r="L11" s="1"/>
    </row>
    <row r="12" spans="1:13" ht="16.5" thickBot="1" x14ac:dyDescent="0.3">
      <c r="A12" s="17">
        <v>11</v>
      </c>
      <c r="B12" s="6"/>
      <c r="C12" s="3">
        <v>0.25</v>
      </c>
      <c r="D12" s="3"/>
      <c r="E12" s="3"/>
      <c r="F12" s="3"/>
      <c r="G12" s="3"/>
      <c r="H12" s="26"/>
      <c r="I12" s="34">
        <f t="shared" si="0"/>
        <v>0.25</v>
      </c>
      <c r="J12" s="1"/>
      <c r="K12" s="2"/>
      <c r="L12" s="1"/>
      <c r="M12" s="81"/>
    </row>
    <row r="13" spans="1:13" ht="16.5" thickBot="1" x14ac:dyDescent="0.3">
      <c r="A13" s="17">
        <v>12</v>
      </c>
      <c r="B13" s="6"/>
      <c r="C13" s="3">
        <v>0.5</v>
      </c>
      <c r="D13" s="3"/>
      <c r="E13" s="3"/>
      <c r="F13" s="3"/>
      <c r="G13" s="3"/>
      <c r="H13" s="26"/>
      <c r="I13" s="34">
        <f t="shared" si="0"/>
        <v>0.5</v>
      </c>
      <c r="J13" s="1"/>
      <c r="K13" s="83" t="s">
        <v>6</v>
      </c>
      <c r="L13" s="21">
        <v>1890.5</v>
      </c>
      <c r="M13" s="82"/>
    </row>
    <row r="14" spans="1:13" ht="15.75" x14ac:dyDescent="0.25">
      <c r="A14" s="17">
        <v>13</v>
      </c>
      <c r="B14" s="6"/>
      <c r="C14" s="3">
        <v>0.5</v>
      </c>
      <c r="D14" s="3"/>
      <c r="E14" s="3"/>
      <c r="F14" s="3"/>
      <c r="G14" s="3"/>
      <c r="H14" s="26"/>
      <c r="I14" s="34">
        <f t="shared" si="0"/>
        <v>0.5</v>
      </c>
      <c r="J14" s="1"/>
      <c r="K14" s="84" t="s">
        <v>7</v>
      </c>
      <c r="L14" s="86">
        <f>SUM(B33:H33)+K2+L2</f>
        <v>581.95000000000005</v>
      </c>
      <c r="M14" s="89">
        <f>L14*100/L13/100</f>
        <v>0.30782861676805084</v>
      </c>
    </row>
    <row r="15" spans="1:13" ht="15.75" x14ac:dyDescent="0.25">
      <c r="A15" s="56">
        <v>14</v>
      </c>
      <c r="B15" s="6"/>
      <c r="C15" s="3"/>
      <c r="D15" s="3"/>
      <c r="E15" s="3"/>
      <c r="F15" s="3"/>
      <c r="G15" s="3"/>
      <c r="H15" s="26"/>
      <c r="I15" s="34">
        <f t="shared" si="0"/>
        <v>0</v>
      </c>
      <c r="J15" s="1"/>
      <c r="K15" s="13"/>
      <c r="L15" s="87"/>
      <c r="M15" s="88"/>
    </row>
    <row r="16" spans="1:13" ht="16.5" thickBot="1" x14ac:dyDescent="0.3">
      <c r="A16" s="56">
        <v>15</v>
      </c>
      <c r="B16" s="6">
        <v>9</v>
      </c>
      <c r="C16" s="3"/>
      <c r="D16" s="3"/>
      <c r="E16" s="3"/>
      <c r="F16" s="3"/>
      <c r="G16" s="3"/>
      <c r="H16" s="26"/>
      <c r="I16" s="34">
        <f t="shared" si="0"/>
        <v>9</v>
      </c>
      <c r="J16" s="1"/>
      <c r="K16" s="85" t="s">
        <v>8</v>
      </c>
      <c r="L16" s="11">
        <f>L13-L14</f>
        <v>1308.55</v>
      </c>
      <c r="M16" s="90">
        <f>(L16*100/L13)/100</f>
        <v>0.69217138323194916</v>
      </c>
    </row>
    <row r="17" spans="1:12" ht="15.75" x14ac:dyDescent="0.25">
      <c r="A17" s="17">
        <v>16</v>
      </c>
      <c r="B17" s="6">
        <v>11.45</v>
      </c>
      <c r="C17" s="3">
        <v>0.5</v>
      </c>
      <c r="D17" s="3"/>
      <c r="E17" s="3"/>
      <c r="F17" s="3"/>
      <c r="G17" s="3"/>
      <c r="H17" s="26"/>
      <c r="I17" s="34">
        <f t="shared" si="0"/>
        <v>11.95</v>
      </c>
      <c r="J17" s="1"/>
      <c r="K17" s="1"/>
      <c r="L17" s="1"/>
    </row>
    <row r="18" spans="1:12" ht="15.75" x14ac:dyDescent="0.25">
      <c r="A18" s="17">
        <v>17</v>
      </c>
      <c r="B18" s="6"/>
      <c r="C18" s="3">
        <v>0.5</v>
      </c>
      <c r="D18" s="3"/>
      <c r="E18" s="3"/>
      <c r="F18" s="3"/>
      <c r="G18" s="3"/>
      <c r="H18" s="26"/>
      <c r="I18" s="34">
        <f t="shared" si="0"/>
        <v>0.5</v>
      </c>
      <c r="J18" s="1"/>
      <c r="K18" s="1"/>
      <c r="L18" s="1"/>
    </row>
    <row r="19" spans="1:12" ht="15.75" x14ac:dyDescent="0.25">
      <c r="A19" s="17">
        <v>18</v>
      </c>
      <c r="B19" s="6"/>
      <c r="C19" s="3">
        <v>0.5</v>
      </c>
      <c r="D19" s="3"/>
      <c r="E19" s="3">
        <v>3.2</v>
      </c>
      <c r="F19" s="3"/>
      <c r="G19" s="3">
        <v>50</v>
      </c>
      <c r="H19" s="26" t="s">
        <v>98</v>
      </c>
      <c r="I19" s="34">
        <f t="shared" si="0"/>
        <v>53.7</v>
      </c>
      <c r="J19" s="1"/>
      <c r="K19" s="1"/>
      <c r="L19" s="1"/>
    </row>
    <row r="20" spans="1:12" ht="15.75" x14ac:dyDescent="0.25">
      <c r="A20" s="17">
        <v>19</v>
      </c>
      <c r="B20" s="6"/>
      <c r="C20" s="3">
        <v>0.5</v>
      </c>
      <c r="D20" s="3"/>
      <c r="E20" s="3"/>
      <c r="F20" s="3"/>
      <c r="G20" s="3"/>
      <c r="H20" s="26"/>
      <c r="I20" s="34">
        <f t="shared" si="0"/>
        <v>0.5</v>
      </c>
      <c r="J20" s="1"/>
      <c r="K20" s="1"/>
      <c r="L20" s="1"/>
    </row>
    <row r="21" spans="1:12" ht="15.75" x14ac:dyDescent="0.25">
      <c r="A21" s="17">
        <v>20</v>
      </c>
      <c r="B21" s="6"/>
      <c r="C21" s="3">
        <v>0.5</v>
      </c>
      <c r="D21" s="3"/>
      <c r="E21" s="3"/>
      <c r="F21" s="3"/>
      <c r="G21" s="3"/>
      <c r="H21" s="26"/>
      <c r="I21" s="34">
        <f t="shared" si="0"/>
        <v>0.5</v>
      </c>
      <c r="J21" s="1"/>
      <c r="K21" s="1"/>
      <c r="L21" s="1"/>
    </row>
    <row r="22" spans="1:12" ht="15.75" x14ac:dyDescent="0.25">
      <c r="A22" s="56">
        <v>21</v>
      </c>
      <c r="B22" s="6">
        <v>4.13</v>
      </c>
      <c r="C22" s="3"/>
      <c r="D22" s="3"/>
      <c r="E22" s="3"/>
      <c r="F22" s="3"/>
      <c r="G22" s="3">
        <v>8.4499999999999993</v>
      </c>
      <c r="H22" s="26" t="s">
        <v>91</v>
      </c>
      <c r="I22" s="34">
        <f t="shared" si="0"/>
        <v>12.579999999999998</v>
      </c>
      <c r="J22" s="1"/>
      <c r="K22" s="1"/>
      <c r="L22" s="1"/>
    </row>
    <row r="23" spans="1:12" ht="15.75" x14ac:dyDescent="0.25">
      <c r="A23" s="56">
        <v>22</v>
      </c>
      <c r="B23" s="6"/>
      <c r="C23" s="3"/>
      <c r="D23" s="3"/>
      <c r="E23" s="3"/>
      <c r="F23" s="3"/>
      <c r="G23" s="3"/>
      <c r="H23" s="26"/>
      <c r="I23" s="34">
        <f t="shared" si="0"/>
        <v>0</v>
      </c>
      <c r="J23" s="1"/>
      <c r="K23" s="1"/>
      <c r="L23" s="1"/>
    </row>
    <row r="24" spans="1:12" ht="15.75" x14ac:dyDescent="0.25">
      <c r="A24" s="17">
        <v>23</v>
      </c>
      <c r="B24" s="6"/>
      <c r="C24" s="3"/>
      <c r="D24" s="3"/>
      <c r="E24" s="3"/>
      <c r="F24" s="3"/>
      <c r="G24" s="3"/>
      <c r="H24" s="26"/>
      <c r="I24" s="34">
        <f t="shared" si="0"/>
        <v>0</v>
      </c>
      <c r="J24" s="1"/>
      <c r="K24" s="1"/>
      <c r="L24" s="1"/>
    </row>
    <row r="25" spans="1:12" ht="15.75" x14ac:dyDescent="0.25">
      <c r="A25" s="17">
        <v>24</v>
      </c>
      <c r="B25" s="6"/>
      <c r="C25" s="3"/>
      <c r="D25" s="3"/>
      <c r="E25" s="3"/>
      <c r="F25" s="3"/>
      <c r="G25" s="3"/>
      <c r="H25" s="26"/>
      <c r="I25" s="34">
        <f t="shared" si="0"/>
        <v>0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>
        <f>13+2.5</f>
        <v>15.5</v>
      </c>
      <c r="F26" s="3"/>
      <c r="G26" s="3"/>
      <c r="H26" s="26"/>
      <c r="I26" s="34">
        <f t="shared" si="0"/>
        <v>15.5</v>
      </c>
      <c r="J26" s="1"/>
      <c r="K26" s="1"/>
      <c r="L26" s="1"/>
    </row>
    <row r="27" spans="1:12" ht="15.75" x14ac:dyDescent="0.25">
      <c r="A27" s="17">
        <v>26</v>
      </c>
      <c r="B27" s="6"/>
      <c r="C27" s="3"/>
      <c r="D27" s="3"/>
      <c r="E27" s="3"/>
      <c r="F27" s="3">
        <v>2.7</v>
      </c>
      <c r="G27" s="3"/>
      <c r="H27" s="26"/>
      <c r="I27" s="34">
        <f t="shared" si="0"/>
        <v>2.7</v>
      </c>
      <c r="J27" s="1"/>
      <c r="K27" s="1"/>
      <c r="L27" s="1"/>
    </row>
    <row r="28" spans="1:12" ht="15.75" x14ac:dyDescent="0.25">
      <c r="A28" s="17">
        <v>27</v>
      </c>
      <c r="B28" s="6"/>
      <c r="C28" s="3"/>
      <c r="D28" s="3"/>
      <c r="E28" s="3"/>
      <c r="F28" s="3"/>
      <c r="G28" s="3"/>
      <c r="H28" s="26"/>
      <c r="I28" s="34">
        <f t="shared" si="0"/>
        <v>0</v>
      </c>
      <c r="J28" s="1"/>
      <c r="K28" s="1"/>
      <c r="L28" s="1"/>
    </row>
    <row r="29" spans="1:12" ht="15.75" x14ac:dyDescent="0.25">
      <c r="A29" s="56">
        <v>28</v>
      </c>
      <c r="B29" s="6"/>
      <c r="C29" s="3"/>
      <c r="D29" s="3"/>
      <c r="E29" s="3"/>
      <c r="F29" s="3"/>
      <c r="G29" s="3"/>
      <c r="H29" s="26"/>
      <c r="I29" s="34">
        <f t="shared" si="0"/>
        <v>0</v>
      </c>
      <c r="J29" s="1"/>
      <c r="K29" s="1"/>
      <c r="L29" s="1"/>
    </row>
    <row r="30" spans="1:12" ht="15.75" x14ac:dyDescent="0.25">
      <c r="A30" s="56">
        <v>29</v>
      </c>
      <c r="B30" s="6"/>
      <c r="C30" s="3"/>
      <c r="D30" s="3"/>
      <c r="E30" s="3"/>
      <c r="F30" s="3"/>
      <c r="G30" s="3"/>
      <c r="H30" s="26"/>
      <c r="I30" s="34">
        <f t="shared" si="0"/>
        <v>0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/>
      <c r="H31" s="26"/>
      <c r="I31" s="34">
        <f t="shared" si="0"/>
        <v>0</v>
      </c>
      <c r="J31" s="1"/>
      <c r="K31" s="1"/>
      <c r="L31" s="1"/>
    </row>
    <row r="32" spans="1:12" ht="16.5" thickBot="1" x14ac:dyDescent="0.3">
      <c r="A32" s="17">
        <v>31</v>
      </c>
      <c r="B32" s="7"/>
      <c r="C32" s="8"/>
      <c r="D32" s="8"/>
      <c r="E32" s="8"/>
      <c r="F32" s="8"/>
      <c r="G32" s="8"/>
      <c r="H32" s="27"/>
      <c r="I32" s="34">
        <f t="shared" si="0"/>
        <v>0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47.12</v>
      </c>
      <c r="C33" s="29">
        <f>SUM(C2:C32)</f>
        <v>5</v>
      </c>
      <c r="D33" s="28">
        <f t="shared" ref="D33:H33" si="1">SUM(D2:D32)</f>
        <v>30</v>
      </c>
      <c r="E33" s="29">
        <f t="shared" si="1"/>
        <v>44.7</v>
      </c>
      <c r="F33" s="29">
        <f t="shared" si="1"/>
        <v>6.5</v>
      </c>
      <c r="G33" s="28">
        <f t="shared" si="1"/>
        <v>113.13000000000001</v>
      </c>
      <c r="H33" s="29">
        <f t="shared" si="1"/>
        <v>0</v>
      </c>
      <c r="I33" s="33">
        <f>SUM(I2:I32)</f>
        <v>246.45</v>
      </c>
    </row>
  </sheetData>
  <conditionalFormatting sqref="L16">
    <cfRule type="cellIs" dxfId="3" priority="1" operator="lessThan">
      <formula>0</formula>
    </cfRule>
    <cfRule type="cellIs" dxfId="2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3"/>
  <sheetViews>
    <sheetView topLeftCell="A8" workbookViewId="0">
      <selection activeCell="F33" sqref="F33"/>
    </sheetView>
  </sheetViews>
  <sheetFormatPr defaultRowHeight="15" x14ac:dyDescent="0.25"/>
  <cols>
    <col min="2" max="2" width="21.140625" bestFit="1" customWidth="1"/>
    <col min="3" max="3" width="20.5703125" bestFit="1" customWidth="1"/>
    <col min="4" max="4" width="15.140625" bestFit="1" customWidth="1"/>
    <col min="5" max="5" width="10.140625" bestFit="1" customWidth="1"/>
    <col min="6" max="7" width="8.7109375" bestFit="1" customWidth="1"/>
    <col min="8" max="8" width="21.85546875" bestFit="1" customWidth="1"/>
    <col min="11" max="11" width="23.140625" bestFit="1" customWidth="1"/>
  </cols>
  <sheetData>
    <row r="1" spans="1:13" ht="16.5" thickBot="1" x14ac:dyDescent="0.3">
      <c r="A1" s="61" t="s">
        <v>0</v>
      </c>
      <c r="B1" s="31" t="s">
        <v>25</v>
      </c>
      <c r="C1" s="30" t="s">
        <v>26</v>
      </c>
      <c r="D1" s="31" t="s">
        <v>1</v>
      </c>
      <c r="E1" s="31" t="s">
        <v>9</v>
      </c>
      <c r="F1" s="31" t="s">
        <v>2</v>
      </c>
      <c r="G1" s="31" t="s">
        <v>4</v>
      </c>
      <c r="H1" s="32" t="s">
        <v>5</v>
      </c>
      <c r="I1" s="35" t="s">
        <v>3</v>
      </c>
      <c r="J1" s="1"/>
      <c r="K1" s="10" t="s">
        <v>23</v>
      </c>
      <c r="L1" s="94" t="s">
        <v>27</v>
      </c>
    </row>
    <row r="2" spans="1:13" ht="16.5" thickBot="1" x14ac:dyDescent="0.3">
      <c r="A2" s="63">
        <v>1</v>
      </c>
      <c r="B2" s="59"/>
      <c r="C2" s="57"/>
      <c r="D2" s="5"/>
      <c r="E2" s="4"/>
      <c r="F2" s="4"/>
      <c r="G2" s="4"/>
      <c r="H2" s="25"/>
      <c r="I2" s="34">
        <f>SUM(B2:H2)</f>
        <v>0</v>
      </c>
      <c r="J2" s="95"/>
      <c r="K2" s="96">
        <v>250</v>
      </c>
      <c r="L2" s="16">
        <f>12+1+61.6</f>
        <v>74.599999999999994</v>
      </c>
    </row>
    <row r="3" spans="1:13" ht="15.75" x14ac:dyDescent="0.25">
      <c r="A3" s="17">
        <v>2</v>
      </c>
      <c r="B3" s="6"/>
      <c r="C3" s="4"/>
      <c r="D3" s="3"/>
      <c r="E3" s="3"/>
      <c r="F3" s="3"/>
      <c r="G3" s="3"/>
      <c r="H3" s="26"/>
      <c r="I3" s="34">
        <f t="shared" ref="I3:I32" si="0">SUM(B3:H3)</f>
        <v>0</v>
      </c>
      <c r="J3" s="91"/>
      <c r="K3" s="92"/>
      <c r="L3" s="93"/>
      <c r="M3" s="81"/>
    </row>
    <row r="4" spans="1:13" ht="15.75" x14ac:dyDescent="0.25">
      <c r="A4" s="17">
        <v>3</v>
      </c>
      <c r="B4" s="6"/>
      <c r="C4" s="3"/>
      <c r="D4" s="3"/>
      <c r="E4" s="3"/>
      <c r="F4" s="3"/>
      <c r="G4" s="3"/>
      <c r="H4" s="26"/>
      <c r="I4" s="34">
        <f>SUM(B4:H4)</f>
        <v>0</v>
      </c>
      <c r="J4" s="1"/>
      <c r="K4" s="2"/>
      <c r="L4" s="1"/>
    </row>
    <row r="5" spans="1:13" ht="15.75" x14ac:dyDescent="0.25">
      <c r="A5" s="17">
        <v>4</v>
      </c>
      <c r="B5" s="6"/>
      <c r="C5" s="3"/>
      <c r="D5" s="3"/>
      <c r="E5" s="3"/>
      <c r="F5" s="3"/>
      <c r="G5" s="3"/>
      <c r="H5" s="26"/>
      <c r="I5" s="34">
        <f t="shared" si="0"/>
        <v>0</v>
      </c>
      <c r="J5" s="1"/>
      <c r="K5" s="2"/>
      <c r="L5" s="1"/>
    </row>
    <row r="6" spans="1:13" ht="15.75" x14ac:dyDescent="0.25">
      <c r="A6" s="56">
        <v>5</v>
      </c>
      <c r="B6" s="6"/>
      <c r="C6" s="3"/>
      <c r="D6" s="3"/>
      <c r="E6" s="3"/>
      <c r="F6" s="3"/>
      <c r="G6" s="3"/>
      <c r="H6" s="26"/>
      <c r="I6" s="34">
        <f t="shared" si="0"/>
        <v>0</v>
      </c>
      <c r="J6" s="1"/>
      <c r="K6" s="2"/>
      <c r="L6" s="1"/>
    </row>
    <row r="7" spans="1:13" ht="15.75" x14ac:dyDescent="0.25">
      <c r="A7" s="56">
        <v>6</v>
      </c>
      <c r="B7" s="6"/>
      <c r="C7" s="3"/>
      <c r="D7" s="3"/>
      <c r="E7" s="3"/>
      <c r="F7" s="3"/>
      <c r="G7" s="3"/>
      <c r="H7" s="26"/>
      <c r="I7" s="34">
        <f t="shared" si="0"/>
        <v>0</v>
      </c>
      <c r="J7" s="1"/>
      <c r="K7" s="2"/>
      <c r="L7" s="1"/>
      <c r="M7" s="81"/>
    </row>
    <row r="8" spans="1:13" ht="15.75" x14ac:dyDescent="0.25">
      <c r="A8" s="17">
        <v>7</v>
      </c>
      <c r="B8" s="6"/>
      <c r="C8" s="3"/>
      <c r="D8" s="3"/>
      <c r="E8" s="3"/>
      <c r="F8" s="3"/>
      <c r="G8" s="3"/>
      <c r="H8" s="26"/>
      <c r="I8" s="34">
        <f t="shared" si="0"/>
        <v>0</v>
      </c>
      <c r="J8" s="1"/>
      <c r="K8" s="2"/>
      <c r="L8" s="1"/>
      <c r="M8" s="81"/>
    </row>
    <row r="9" spans="1:13" ht="15.75" x14ac:dyDescent="0.25">
      <c r="A9" s="17">
        <v>8</v>
      </c>
      <c r="B9" s="6"/>
      <c r="C9" s="3"/>
      <c r="D9" s="3"/>
      <c r="E9" s="3"/>
      <c r="F9" s="3"/>
      <c r="G9" s="3"/>
      <c r="H9" s="26"/>
      <c r="I9" s="34">
        <f t="shared" si="0"/>
        <v>0</v>
      </c>
      <c r="J9" s="1"/>
      <c r="K9" s="2"/>
      <c r="L9" s="1"/>
      <c r="M9" s="81"/>
    </row>
    <row r="10" spans="1:13" ht="15.75" x14ac:dyDescent="0.25">
      <c r="A10" s="17">
        <v>9</v>
      </c>
      <c r="B10" s="6"/>
      <c r="C10" s="3"/>
      <c r="D10" s="3"/>
      <c r="E10" s="3"/>
      <c r="F10" s="3"/>
      <c r="G10" s="3"/>
      <c r="H10" s="26"/>
      <c r="I10" s="34">
        <f t="shared" si="0"/>
        <v>0</v>
      </c>
      <c r="J10" s="1"/>
      <c r="K10" s="2"/>
      <c r="L10" s="80"/>
      <c r="M10" s="81"/>
    </row>
    <row r="11" spans="1:13" ht="15.75" x14ac:dyDescent="0.25">
      <c r="A11" s="17">
        <v>10</v>
      </c>
      <c r="B11" s="6"/>
      <c r="C11" s="3"/>
      <c r="D11" s="3"/>
      <c r="E11" s="3"/>
      <c r="F11" s="3"/>
      <c r="G11" s="3"/>
      <c r="H11" s="26"/>
      <c r="I11" s="34">
        <f t="shared" si="0"/>
        <v>0</v>
      </c>
      <c r="J11" s="1"/>
      <c r="K11" s="2"/>
      <c r="L11" s="1"/>
    </row>
    <row r="12" spans="1:13" ht="16.5" thickBot="1" x14ac:dyDescent="0.3">
      <c r="A12" s="17">
        <v>11</v>
      </c>
      <c r="B12" s="6"/>
      <c r="C12" s="3"/>
      <c r="D12" s="3"/>
      <c r="E12" s="3"/>
      <c r="F12" s="3">
        <v>2.7</v>
      </c>
      <c r="G12" s="3">
        <f>5.18+4.09+3.43</f>
        <v>12.7</v>
      </c>
      <c r="H12" s="26" t="s">
        <v>99</v>
      </c>
      <c r="I12" s="34">
        <f t="shared" si="0"/>
        <v>15.399999999999999</v>
      </c>
      <c r="J12" s="1"/>
      <c r="K12" s="2"/>
      <c r="L12" s="1"/>
      <c r="M12" s="81"/>
    </row>
    <row r="13" spans="1:13" ht="16.5" thickBot="1" x14ac:dyDescent="0.3">
      <c r="A13" s="56">
        <v>12</v>
      </c>
      <c r="B13" s="6"/>
      <c r="C13" s="3"/>
      <c r="D13" s="3"/>
      <c r="E13" s="3"/>
      <c r="F13" s="3"/>
      <c r="G13" s="3">
        <v>8</v>
      </c>
      <c r="H13" s="26"/>
      <c r="I13" s="34">
        <f t="shared" si="0"/>
        <v>8</v>
      </c>
      <c r="J13" s="1"/>
      <c r="K13" s="83" t="s">
        <v>6</v>
      </c>
      <c r="L13" s="21">
        <f>1015.14+500</f>
        <v>1515.1399999999999</v>
      </c>
      <c r="M13" s="82"/>
    </row>
    <row r="14" spans="1:13" ht="15.75" x14ac:dyDescent="0.25">
      <c r="A14" s="56">
        <v>13</v>
      </c>
      <c r="B14" s="6"/>
      <c r="C14" s="3"/>
      <c r="D14" s="3"/>
      <c r="E14" s="3">
        <v>12</v>
      </c>
      <c r="F14" s="3"/>
      <c r="G14" s="3"/>
      <c r="H14" s="26"/>
      <c r="I14" s="34">
        <f t="shared" si="0"/>
        <v>12</v>
      </c>
      <c r="J14" s="1"/>
      <c r="K14" s="84" t="s">
        <v>7</v>
      </c>
      <c r="L14" s="86">
        <f>SUM(B33:H33)+K2+L2</f>
        <v>746.09</v>
      </c>
      <c r="M14" s="89">
        <f>L14*100/L13/100</f>
        <v>0.49242314241588242</v>
      </c>
    </row>
    <row r="15" spans="1:13" ht="15.75" x14ac:dyDescent="0.25">
      <c r="A15" s="17">
        <v>14</v>
      </c>
      <c r="B15" s="6">
        <v>17.84</v>
      </c>
      <c r="C15" s="3"/>
      <c r="D15" s="3"/>
      <c r="E15" s="3"/>
      <c r="F15" s="3"/>
      <c r="G15" s="3">
        <v>8.4499999999999993</v>
      </c>
      <c r="H15" s="26" t="s">
        <v>91</v>
      </c>
      <c r="I15" s="34">
        <f t="shared" si="0"/>
        <v>26.29</v>
      </c>
      <c r="J15" s="1"/>
      <c r="K15" s="13"/>
      <c r="L15" s="87"/>
      <c r="M15" s="88"/>
    </row>
    <row r="16" spans="1:13" ht="16.5" thickBot="1" x14ac:dyDescent="0.3">
      <c r="A16" s="17">
        <v>15</v>
      </c>
      <c r="B16" s="6"/>
      <c r="C16" s="3"/>
      <c r="D16" s="3"/>
      <c r="E16" s="3"/>
      <c r="F16" s="3"/>
      <c r="G16" s="3"/>
      <c r="H16" s="26"/>
      <c r="I16" s="34">
        <f t="shared" si="0"/>
        <v>0</v>
      </c>
      <c r="J16" s="1"/>
      <c r="K16" s="85" t="s">
        <v>8</v>
      </c>
      <c r="L16" s="11">
        <f>L13-L14</f>
        <v>769.04999999999984</v>
      </c>
      <c r="M16" s="90">
        <f>(L16*100/L13)/100</f>
        <v>0.50757685758411764</v>
      </c>
    </row>
    <row r="17" spans="1:12" ht="15.75" x14ac:dyDescent="0.25">
      <c r="A17" s="17">
        <v>16</v>
      </c>
      <c r="B17" s="6"/>
      <c r="C17" s="3"/>
      <c r="D17" s="3"/>
      <c r="E17" s="3"/>
      <c r="F17" s="3"/>
      <c r="G17" s="3"/>
      <c r="H17" s="26"/>
      <c r="I17" s="34">
        <f t="shared" si="0"/>
        <v>0</v>
      </c>
      <c r="J17" s="1"/>
      <c r="K17" s="1"/>
      <c r="L17" s="1"/>
    </row>
    <row r="18" spans="1:12" ht="15.75" x14ac:dyDescent="0.25">
      <c r="A18" s="17">
        <v>17</v>
      </c>
      <c r="B18" s="6"/>
      <c r="C18" s="3"/>
      <c r="D18" s="3"/>
      <c r="E18" s="3"/>
      <c r="F18" s="3"/>
      <c r="G18" s="3">
        <v>52.4</v>
      </c>
      <c r="H18" s="26" t="s">
        <v>100</v>
      </c>
      <c r="I18" s="34">
        <f t="shared" si="0"/>
        <v>52.4</v>
      </c>
      <c r="J18" s="1"/>
      <c r="K18" s="1"/>
      <c r="L18" s="1"/>
    </row>
    <row r="19" spans="1:12" ht="15.75" x14ac:dyDescent="0.25">
      <c r="A19" s="17">
        <v>18</v>
      </c>
      <c r="B19" s="6"/>
      <c r="C19" s="3">
        <v>2.7</v>
      </c>
      <c r="D19" s="3"/>
      <c r="E19" s="3"/>
      <c r="F19" s="3"/>
      <c r="G19" s="3"/>
      <c r="H19" s="26"/>
      <c r="I19" s="34">
        <f t="shared" si="0"/>
        <v>2.7</v>
      </c>
      <c r="J19" s="1"/>
      <c r="K19" s="1"/>
      <c r="L19" s="1"/>
    </row>
    <row r="20" spans="1:12" ht="15.75" x14ac:dyDescent="0.25">
      <c r="A20" s="56">
        <v>19</v>
      </c>
      <c r="B20" s="6"/>
      <c r="C20" s="3"/>
      <c r="D20" s="3"/>
      <c r="E20" s="3"/>
      <c r="F20" s="3"/>
      <c r="G20" s="3"/>
      <c r="H20" s="26"/>
      <c r="I20" s="34">
        <f t="shared" si="0"/>
        <v>0</v>
      </c>
      <c r="J20" s="1"/>
      <c r="K20" s="1"/>
      <c r="L20" s="1"/>
    </row>
    <row r="21" spans="1:12" ht="15.75" x14ac:dyDescent="0.25">
      <c r="A21" s="56">
        <v>20</v>
      </c>
      <c r="B21" s="6"/>
      <c r="C21" s="3"/>
      <c r="D21" s="3"/>
      <c r="E21" s="3"/>
      <c r="F21" s="3"/>
      <c r="G21" s="3"/>
      <c r="H21" s="26"/>
      <c r="I21" s="34">
        <f t="shared" si="0"/>
        <v>0</v>
      </c>
      <c r="J21" s="1"/>
      <c r="K21" s="1"/>
      <c r="L21" s="1"/>
    </row>
    <row r="22" spans="1:12" ht="15.75" x14ac:dyDescent="0.25">
      <c r="A22" s="17">
        <v>21</v>
      </c>
      <c r="B22" s="6">
        <v>4</v>
      </c>
      <c r="C22" s="3"/>
      <c r="D22" s="3"/>
      <c r="E22" s="3"/>
      <c r="F22" s="3"/>
      <c r="G22" s="3">
        <v>45</v>
      </c>
      <c r="H22" s="26" t="s">
        <v>101</v>
      </c>
      <c r="I22" s="34">
        <f t="shared" si="0"/>
        <v>49</v>
      </c>
      <c r="J22" s="1"/>
      <c r="K22" s="1"/>
      <c r="L22" s="1"/>
    </row>
    <row r="23" spans="1:12" ht="15.75" x14ac:dyDescent="0.25">
      <c r="A23" s="17">
        <v>22</v>
      </c>
      <c r="B23" s="6"/>
      <c r="C23" s="3"/>
      <c r="D23" s="3">
        <v>20</v>
      </c>
      <c r="E23" s="3"/>
      <c r="F23" s="3"/>
      <c r="G23" s="3"/>
      <c r="H23" s="26"/>
      <c r="I23" s="34">
        <f t="shared" si="0"/>
        <v>20</v>
      </c>
      <c r="J23" s="1"/>
      <c r="K23" s="1"/>
      <c r="L23" s="1"/>
    </row>
    <row r="24" spans="1:12" ht="15.75" x14ac:dyDescent="0.25">
      <c r="A24" s="17">
        <v>23</v>
      </c>
      <c r="B24" s="6"/>
      <c r="C24" s="3">
        <v>6.7</v>
      </c>
      <c r="D24" s="3"/>
      <c r="E24" s="3">
        <v>10</v>
      </c>
      <c r="F24" s="3">
        <v>10</v>
      </c>
      <c r="G24" s="3">
        <v>50</v>
      </c>
      <c r="H24" s="26" t="s">
        <v>33</v>
      </c>
      <c r="I24" s="34">
        <f t="shared" si="0"/>
        <v>76.7</v>
      </c>
      <c r="J24" s="1"/>
      <c r="K24" s="1"/>
      <c r="L24" s="1"/>
    </row>
    <row r="25" spans="1:12" ht="15.75" x14ac:dyDescent="0.25">
      <c r="A25" s="17">
        <v>24</v>
      </c>
      <c r="B25" s="6"/>
      <c r="C25" s="3"/>
      <c r="D25" s="3"/>
      <c r="E25" s="3"/>
      <c r="F25" s="3"/>
      <c r="G25" s="3">
        <v>45</v>
      </c>
      <c r="H25" s="26" t="s">
        <v>102</v>
      </c>
      <c r="I25" s="34">
        <f t="shared" si="0"/>
        <v>45</v>
      </c>
      <c r="J25" s="1"/>
      <c r="K25" s="1"/>
      <c r="L25" s="1"/>
    </row>
    <row r="26" spans="1:12" ht="15.75" x14ac:dyDescent="0.25">
      <c r="A26" s="17">
        <v>25</v>
      </c>
      <c r="B26" s="6"/>
      <c r="C26" s="3"/>
      <c r="D26" s="3"/>
      <c r="E26" s="3"/>
      <c r="F26" s="3">
        <v>5</v>
      </c>
      <c r="G26" s="3"/>
      <c r="H26" s="26"/>
      <c r="I26" s="34">
        <f t="shared" si="0"/>
        <v>5</v>
      </c>
      <c r="J26" s="1"/>
      <c r="K26" s="1"/>
      <c r="L26" s="1"/>
    </row>
    <row r="27" spans="1:12" ht="15.75" x14ac:dyDescent="0.25">
      <c r="A27" s="56">
        <v>26</v>
      </c>
      <c r="B27" s="6"/>
      <c r="C27" s="3"/>
      <c r="D27" s="3"/>
      <c r="E27" s="3"/>
      <c r="F27" s="3">
        <v>1</v>
      </c>
      <c r="G27" s="3"/>
      <c r="H27" s="26"/>
      <c r="I27" s="34">
        <f t="shared" si="0"/>
        <v>1</v>
      </c>
      <c r="J27" s="1"/>
      <c r="K27" s="1"/>
      <c r="L27" s="1"/>
    </row>
    <row r="28" spans="1:12" ht="15.75" x14ac:dyDescent="0.25">
      <c r="A28" s="56">
        <v>27</v>
      </c>
      <c r="B28" s="6"/>
      <c r="C28" s="3"/>
      <c r="D28" s="3"/>
      <c r="E28" s="3"/>
      <c r="F28" s="3">
        <v>1</v>
      </c>
      <c r="G28" s="3"/>
      <c r="H28" s="26"/>
      <c r="I28" s="34">
        <f t="shared" si="0"/>
        <v>1</v>
      </c>
      <c r="J28" s="1"/>
      <c r="K28" s="1"/>
      <c r="L28" s="1"/>
    </row>
    <row r="29" spans="1:12" ht="15.75" x14ac:dyDescent="0.25">
      <c r="A29" s="17">
        <v>28</v>
      </c>
      <c r="B29" s="6"/>
      <c r="C29" s="3"/>
      <c r="D29" s="3"/>
      <c r="E29" s="3"/>
      <c r="F29" s="3">
        <v>1</v>
      </c>
      <c r="G29" s="3"/>
      <c r="H29" s="26"/>
      <c r="I29" s="34">
        <f t="shared" si="0"/>
        <v>1</v>
      </c>
      <c r="J29" s="1"/>
      <c r="K29" s="1"/>
      <c r="L29" s="1"/>
    </row>
    <row r="30" spans="1:12" ht="15.75" x14ac:dyDescent="0.25">
      <c r="A30" s="17">
        <v>29</v>
      </c>
      <c r="B30" s="6"/>
      <c r="C30" s="3">
        <v>31</v>
      </c>
      <c r="D30" s="3"/>
      <c r="E30" s="3"/>
      <c r="F30" s="3">
        <v>1</v>
      </c>
      <c r="G30" s="3"/>
      <c r="H30" s="26" t="s">
        <v>75</v>
      </c>
      <c r="I30" s="34">
        <f t="shared" si="0"/>
        <v>32</v>
      </c>
      <c r="J30" s="1"/>
      <c r="K30" s="1"/>
      <c r="L30" s="1"/>
    </row>
    <row r="31" spans="1:12" ht="15.75" x14ac:dyDescent="0.25">
      <c r="A31" s="17">
        <v>30</v>
      </c>
      <c r="B31" s="6"/>
      <c r="C31" s="3"/>
      <c r="D31" s="3"/>
      <c r="E31" s="3"/>
      <c r="F31" s="3"/>
      <c r="G31" s="3"/>
      <c r="H31" s="26"/>
      <c r="I31" s="34">
        <f t="shared" si="0"/>
        <v>0</v>
      </c>
      <c r="J31" s="1"/>
      <c r="K31" s="1"/>
      <c r="L31" s="1"/>
    </row>
    <row r="32" spans="1:12" ht="16.5" thickBot="1" x14ac:dyDescent="0.3">
      <c r="A32" s="17">
        <v>31</v>
      </c>
      <c r="B32" s="7"/>
      <c r="C32" s="8">
        <v>27.5</v>
      </c>
      <c r="D32" s="8"/>
      <c r="E32" s="8"/>
      <c r="F32" s="8">
        <f>62-15.5</f>
        <v>46.5</v>
      </c>
      <c r="G32" s="8"/>
      <c r="H32" s="27"/>
      <c r="I32" s="34">
        <f t="shared" si="0"/>
        <v>74</v>
      </c>
      <c r="J32" s="1"/>
      <c r="K32" s="1"/>
      <c r="L32" s="1"/>
    </row>
    <row r="33" spans="1:9" ht="16.5" thickBot="1" x14ac:dyDescent="0.3">
      <c r="A33" s="9" t="s">
        <v>3</v>
      </c>
      <c r="B33" s="28">
        <f>SUM(B2:B32)</f>
        <v>21.84</v>
      </c>
      <c r="C33" s="29">
        <f>SUM(C2:C32)</f>
        <v>67.900000000000006</v>
      </c>
      <c r="D33" s="28">
        <f t="shared" ref="D33:H33" si="1">SUM(D2:D32)</f>
        <v>20</v>
      </c>
      <c r="E33" s="29">
        <f t="shared" si="1"/>
        <v>22</v>
      </c>
      <c r="F33" s="29">
        <f t="shared" si="1"/>
        <v>68.2</v>
      </c>
      <c r="G33" s="28">
        <f t="shared" si="1"/>
        <v>221.55</v>
      </c>
      <c r="H33" s="29">
        <f t="shared" si="1"/>
        <v>0</v>
      </c>
      <c r="I33" s="33">
        <f>SUM(I2:I32)</f>
        <v>421.49</v>
      </c>
    </row>
  </sheetData>
  <conditionalFormatting sqref="L16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Saldo</vt:lpstr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Zambras</dc:creator>
  <cp:lastModifiedBy>Caniceiro David (BrgP/MFE33.4)</cp:lastModifiedBy>
  <dcterms:created xsi:type="dcterms:W3CDTF">2019-02-11T17:59:30Z</dcterms:created>
  <dcterms:modified xsi:type="dcterms:W3CDTF">2026-04-17T11:53:37Z</dcterms:modified>
</cp:coreProperties>
</file>