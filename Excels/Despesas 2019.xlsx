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esktop\Excel\"/>
    </mc:Choice>
  </mc:AlternateContent>
  <bookViews>
    <workbookView xWindow="0" yWindow="0" windowWidth="20496" windowHeight="7752" tabRatio="529" firstSheet="3" activeTab="12"/>
  </bookViews>
  <sheets>
    <sheet name="template" sheetId="4" r:id="rId1"/>
    <sheet name="Saldo" sheetId="5" r:id="rId2"/>
    <sheet name="Gráficos" sheetId="7" r:id="rId3"/>
    <sheet name="Janeiro" sheetId="1" r:id="rId4"/>
    <sheet name="Fevereiro" sheetId="3" r:id="rId5"/>
    <sheet name="Março" sheetId="6" r:id="rId6"/>
    <sheet name="Maio" sheetId="9" r:id="rId7"/>
    <sheet name="Abril" sheetId="8" r:id="rId8"/>
    <sheet name="Junho" sheetId="10" r:id="rId9"/>
    <sheet name="Julho" sheetId="11" r:id="rId10"/>
    <sheet name="Agosto" sheetId="12" r:id="rId11"/>
    <sheet name="Setembro" sheetId="13" r:id="rId12"/>
    <sheet name="Outubro" sheetId="14" r:id="rId13"/>
    <sheet name="Novembro" sheetId="15" r:id="rId14"/>
    <sheet name="Dezembro" sheetId="16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6" l="1"/>
  <c r="G32" i="16"/>
  <c r="B24" i="16" l="1"/>
  <c r="L13" i="16" l="1"/>
  <c r="G21" i="16" l="1"/>
  <c r="G24" i="16"/>
  <c r="B19" i="16" l="1"/>
  <c r="B18" i="16"/>
  <c r="B14" i="16" l="1"/>
  <c r="B17" i="16"/>
  <c r="L2" i="16"/>
  <c r="B15" i="16"/>
  <c r="B13" i="16"/>
  <c r="E9" i="16"/>
  <c r="E7" i="16"/>
  <c r="B7" i="16" l="1"/>
  <c r="B6" i="16"/>
  <c r="B5" i="16"/>
  <c r="B4" i="16"/>
  <c r="B3" i="16"/>
  <c r="I15" i="5" l="1"/>
  <c r="I14" i="5"/>
  <c r="I13" i="5"/>
  <c r="N3" i="5"/>
  <c r="D13" i="5"/>
  <c r="E13" i="5"/>
  <c r="F13" i="5"/>
  <c r="G13" i="5"/>
  <c r="H13" i="5"/>
  <c r="D14" i="5"/>
  <c r="E14" i="5"/>
  <c r="F14" i="5"/>
  <c r="G14" i="5"/>
  <c r="H14" i="5"/>
  <c r="D15" i="5"/>
  <c r="C14" i="5"/>
  <c r="C13" i="5"/>
  <c r="D12" i="5"/>
  <c r="E12" i="5"/>
  <c r="F12" i="5"/>
  <c r="G12" i="5"/>
  <c r="H12" i="5"/>
  <c r="I12" i="5"/>
  <c r="J12" i="5"/>
  <c r="B31" i="15"/>
  <c r="J13" i="5" l="1"/>
  <c r="B28" i="15"/>
  <c r="B27" i="15"/>
  <c r="B26" i="15"/>
  <c r="F24" i="15" l="1"/>
  <c r="B21" i="15" l="1"/>
  <c r="B22" i="15"/>
  <c r="B20" i="15"/>
  <c r="F17" i="15" l="1"/>
  <c r="G17" i="15"/>
  <c r="L2" i="15"/>
  <c r="B16" i="15"/>
  <c r="B7" i="15" l="1"/>
  <c r="B9" i="15"/>
  <c r="G6" i="15"/>
  <c r="B8" i="15"/>
  <c r="B6" i="15"/>
  <c r="B25" i="14" l="1"/>
  <c r="B29" i="14"/>
  <c r="F27" i="14"/>
  <c r="B26" i="14"/>
  <c r="F19" i="14"/>
  <c r="B14" i="14" l="1"/>
  <c r="G18" i="14"/>
  <c r="B15" i="14"/>
  <c r="B16" i="14"/>
  <c r="B17" i="14"/>
  <c r="B18" i="14" s="1"/>
  <c r="B19" i="14" s="1"/>
  <c r="L2" i="14"/>
  <c r="G10" i="14" l="1"/>
  <c r="B9" i="14"/>
  <c r="B11" i="14"/>
  <c r="F12" i="14"/>
  <c r="G8" i="14"/>
  <c r="B8" i="14"/>
  <c r="E7" i="14"/>
  <c r="F6" i="14"/>
  <c r="F5" i="14"/>
  <c r="B30" i="13" l="1"/>
  <c r="B4" i="14"/>
  <c r="B3" i="14"/>
  <c r="B28" i="13" l="1"/>
  <c r="B27" i="13" l="1"/>
  <c r="B26" i="13"/>
  <c r="B23" i="13" l="1"/>
  <c r="C23" i="13"/>
  <c r="B25" i="13"/>
  <c r="B24" i="13"/>
  <c r="B12" i="13" l="1"/>
  <c r="B21" i="13"/>
  <c r="B19" i="13"/>
  <c r="B20" i="13"/>
  <c r="B18" i="13"/>
  <c r="F15" i="13"/>
  <c r="B17" i="13" l="1"/>
  <c r="E16" i="13"/>
  <c r="B13" i="13"/>
  <c r="L2" i="13"/>
  <c r="B10" i="13"/>
  <c r="B11" i="13"/>
  <c r="B14" i="13"/>
  <c r="B8" i="13" l="1"/>
  <c r="F7" i="13"/>
  <c r="B7" i="13"/>
  <c r="B6" i="13"/>
  <c r="B5" i="13"/>
  <c r="B4" i="13"/>
  <c r="B3" i="13" l="1"/>
  <c r="B32" i="12"/>
  <c r="B27" i="12" l="1"/>
  <c r="I3" i="12" l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G19" i="12" l="1"/>
  <c r="F18" i="12"/>
  <c r="I11" i="5" l="1"/>
  <c r="F12" i="12"/>
  <c r="B10" i="12"/>
  <c r="B6" i="12" l="1"/>
  <c r="B3" i="12"/>
  <c r="B32" i="11" l="1"/>
  <c r="B2" i="12"/>
  <c r="B31" i="11"/>
  <c r="B30" i="11"/>
  <c r="F28" i="11"/>
  <c r="E29" i="11"/>
  <c r="B25" i="11" l="1"/>
  <c r="B24" i="11" l="1"/>
  <c r="B23" i="11"/>
  <c r="B19" i="11" l="1"/>
  <c r="B20" i="11"/>
  <c r="F20" i="11"/>
  <c r="B18" i="11" l="1"/>
  <c r="I10" i="5" l="1"/>
  <c r="D10" i="5"/>
  <c r="B17" i="11"/>
  <c r="B16" i="11"/>
  <c r="B13" i="11"/>
  <c r="F13" i="11"/>
  <c r="B12" i="11" l="1"/>
  <c r="L1" i="11"/>
  <c r="B11" i="11" l="1"/>
  <c r="B10" i="11" l="1"/>
  <c r="B9" i="11" l="1"/>
  <c r="C8" i="11" l="1"/>
  <c r="B8" i="11"/>
  <c r="G7" i="11"/>
  <c r="B6" i="11" l="1"/>
  <c r="B5" i="11"/>
  <c r="F5" i="11"/>
  <c r="B4" i="11" l="1"/>
  <c r="B3" i="11"/>
  <c r="B2" i="11" l="1"/>
  <c r="B26" i="10" l="1"/>
  <c r="K8" i="5" l="1"/>
  <c r="K7" i="5"/>
  <c r="K6" i="5"/>
  <c r="K5" i="5"/>
  <c r="K4" i="5"/>
  <c r="F29" i="10"/>
  <c r="B29" i="10" l="1"/>
  <c r="B28" i="10"/>
  <c r="I9" i="5" l="1"/>
  <c r="F9" i="5"/>
  <c r="D9" i="5"/>
  <c r="B27" i="10"/>
  <c r="E25" i="10" l="1"/>
  <c r="F23" i="10" l="1"/>
  <c r="F22" i="10"/>
  <c r="F21" i="10"/>
  <c r="B18" i="10" l="1"/>
  <c r="B19" i="10"/>
  <c r="B20" i="10"/>
  <c r="B15" i="10" l="1"/>
  <c r="B14" i="10"/>
  <c r="B16" i="10"/>
  <c r="B13" i="10" l="1"/>
  <c r="B12" i="10"/>
  <c r="F10" i="10"/>
  <c r="F9" i="10" l="1"/>
  <c r="B5" i="10"/>
  <c r="B6" i="10"/>
  <c r="B7" i="10"/>
  <c r="B8" i="10"/>
  <c r="F8" i="10"/>
  <c r="B4" i="10" l="1"/>
  <c r="B3" i="10"/>
  <c r="H33" i="16" l="1"/>
  <c r="G33" i="16"/>
  <c r="H15" i="5" s="1"/>
  <c r="F33" i="16"/>
  <c r="G15" i="5" s="1"/>
  <c r="E33" i="16"/>
  <c r="F15" i="5" s="1"/>
  <c r="D33" i="16"/>
  <c r="E15" i="5" s="1"/>
  <c r="C33" i="16"/>
  <c r="B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H33" i="15"/>
  <c r="G33" i="15"/>
  <c r="F33" i="15"/>
  <c r="E33" i="15"/>
  <c r="D33" i="15"/>
  <c r="C33" i="15"/>
  <c r="B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H33" i="14"/>
  <c r="G33" i="14"/>
  <c r="F33" i="14"/>
  <c r="E33" i="14"/>
  <c r="D33" i="14"/>
  <c r="C33" i="14"/>
  <c r="B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G33" i="13"/>
  <c r="F33" i="13"/>
  <c r="E33" i="13"/>
  <c r="D33" i="13"/>
  <c r="C33" i="13"/>
  <c r="B33" i="13"/>
  <c r="C12" i="5" s="1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H33" i="12"/>
  <c r="G33" i="12"/>
  <c r="H11" i="5" s="1"/>
  <c r="F33" i="12"/>
  <c r="G11" i="5" s="1"/>
  <c r="E33" i="12"/>
  <c r="F11" i="5" s="1"/>
  <c r="D33" i="12"/>
  <c r="E11" i="5" s="1"/>
  <c r="C33" i="12"/>
  <c r="D11" i="5" s="1"/>
  <c r="B33" i="12"/>
  <c r="I2" i="12"/>
  <c r="H33" i="11"/>
  <c r="G33" i="11"/>
  <c r="H10" i="5" s="1"/>
  <c r="F33" i="11"/>
  <c r="G10" i="5" s="1"/>
  <c r="E33" i="11"/>
  <c r="F10" i="5" s="1"/>
  <c r="D33" i="11"/>
  <c r="E10" i="5" s="1"/>
  <c r="C33" i="11"/>
  <c r="B33" i="11"/>
  <c r="C10" i="5" s="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H33" i="10"/>
  <c r="G33" i="10"/>
  <c r="H9" i="5" s="1"/>
  <c r="F33" i="10"/>
  <c r="G9" i="5" s="1"/>
  <c r="E33" i="10"/>
  <c r="D33" i="10"/>
  <c r="E9" i="5" s="1"/>
  <c r="C33" i="10"/>
  <c r="B33" i="10"/>
  <c r="C9" i="5" s="1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33" i="16" l="1"/>
  <c r="C15" i="5"/>
  <c r="L14" i="16"/>
  <c r="L16" i="16" s="1"/>
  <c r="K15" i="5" s="1"/>
  <c r="L14" i="15"/>
  <c r="L16" i="15" s="1"/>
  <c r="K14" i="5" s="1"/>
  <c r="I33" i="15"/>
  <c r="L14" i="14"/>
  <c r="L16" i="14" s="1"/>
  <c r="K13" i="5" s="1"/>
  <c r="I33" i="14"/>
  <c r="I33" i="12"/>
  <c r="J18" i="12"/>
  <c r="L14" i="12"/>
  <c r="L16" i="12" s="1"/>
  <c r="K11" i="5" s="1"/>
  <c r="C11" i="5"/>
  <c r="L14" i="11"/>
  <c r="L16" i="11" s="1"/>
  <c r="K10" i="5" s="1"/>
  <c r="I33" i="11"/>
  <c r="L14" i="10"/>
  <c r="L16" i="10" s="1"/>
  <c r="K9" i="5" s="1"/>
  <c r="I33" i="10"/>
  <c r="D33" i="9"/>
  <c r="B29" i="9"/>
  <c r="B30" i="9"/>
  <c r="B31" i="9"/>
  <c r="B32" i="9"/>
  <c r="F32" i="9"/>
  <c r="B28" i="9" l="1"/>
  <c r="B26" i="9" l="1"/>
  <c r="C26" i="9"/>
  <c r="F25" i="9"/>
  <c r="B25" i="9"/>
  <c r="B24" i="9"/>
  <c r="B23" i="9"/>
  <c r="B21" i="9" l="1"/>
  <c r="B22" i="9"/>
  <c r="E20" i="9"/>
  <c r="E18" i="9" l="1"/>
  <c r="B17" i="9"/>
  <c r="B15" i="9" l="1"/>
  <c r="B16" i="9"/>
  <c r="B14" i="9"/>
  <c r="B7" i="9" l="1"/>
  <c r="B8" i="9"/>
  <c r="B9" i="9"/>
  <c r="B10" i="9"/>
  <c r="B11" i="9"/>
  <c r="E13" i="9"/>
  <c r="E11" i="9"/>
  <c r="B4" i="9" l="1"/>
  <c r="D8" i="5" l="1"/>
  <c r="E8" i="5"/>
  <c r="I8" i="5"/>
  <c r="B3" i="9"/>
  <c r="H33" i="9"/>
  <c r="G33" i="9"/>
  <c r="H8" i="5" s="1"/>
  <c r="F33" i="9"/>
  <c r="G8" i="5" s="1"/>
  <c r="E33" i="9"/>
  <c r="F8" i="5" s="1"/>
  <c r="C33" i="9"/>
  <c r="B33" i="9"/>
  <c r="C8" i="5" s="1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B31" i="8"/>
  <c r="I33" i="9" l="1"/>
  <c r="J8" i="5"/>
  <c r="L14" i="9"/>
  <c r="L16" i="9" s="1"/>
  <c r="I7" i="5"/>
  <c r="B30" i="8"/>
  <c r="F24" i="8" l="1"/>
  <c r="F22" i="8"/>
  <c r="F21" i="8"/>
  <c r="F20" i="8"/>
  <c r="B19" i="8"/>
  <c r="G14" i="8" l="1"/>
  <c r="B12" i="8"/>
  <c r="B13" i="8"/>
  <c r="B11" i="8" l="1"/>
  <c r="B10" i="8"/>
  <c r="B9" i="8" l="1"/>
  <c r="E8" i="8"/>
  <c r="E6" i="8" l="1"/>
  <c r="I3" i="4" l="1"/>
  <c r="I33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B4" i="8"/>
  <c r="B2" i="8"/>
  <c r="I2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3"/>
  <c r="B3" i="8"/>
  <c r="D7" i="5" l="1"/>
  <c r="I33" i="8"/>
  <c r="H33" i="8"/>
  <c r="G33" i="8"/>
  <c r="H7" i="5" s="1"/>
  <c r="F33" i="8"/>
  <c r="G7" i="5" s="1"/>
  <c r="E33" i="8"/>
  <c r="F7" i="5" s="1"/>
  <c r="D33" i="8"/>
  <c r="E7" i="5" s="1"/>
  <c r="C33" i="8"/>
  <c r="B33" i="8"/>
  <c r="C7" i="5" s="1"/>
  <c r="B32" i="6"/>
  <c r="J7" i="5" l="1"/>
  <c r="L14" i="8"/>
  <c r="L16" i="8" s="1"/>
  <c r="B29" i="6"/>
  <c r="B27" i="6" l="1"/>
  <c r="B28" i="6"/>
  <c r="B26" i="6" l="1"/>
  <c r="B23" i="6" l="1"/>
  <c r="B22" i="6" l="1"/>
  <c r="B9" i="6" l="1"/>
  <c r="J9" i="5"/>
  <c r="J10" i="5"/>
  <c r="J11" i="5"/>
  <c r="J14" i="5"/>
  <c r="J15" i="5"/>
  <c r="J4" i="5"/>
  <c r="B21" i="6"/>
  <c r="B20" i="6"/>
  <c r="E6" i="5" l="1"/>
  <c r="F6" i="5"/>
  <c r="D5" i="5"/>
  <c r="I6" i="5"/>
  <c r="I5" i="5"/>
  <c r="I4" i="5"/>
  <c r="I16" i="5" s="1"/>
  <c r="E4" i="5"/>
  <c r="F4" i="5"/>
  <c r="G4" i="5"/>
  <c r="H4" i="5"/>
  <c r="D4" i="5"/>
  <c r="C4" i="5"/>
  <c r="B20" i="1"/>
  <c r="C20" i="1"/>
  <c r="B19" i="6"/>
  <c r="F17" i="6"/>
  <c r="B15" i="6" l="1"/>
  <c r="B14" i="6" l="1"/>
  <c r="B10" i="6" l="1"/>
  <c r="B13" i="6"/>
  <c r="B12" i="6"/>
  <c r="E33" i="4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B7" i="6"/>
  <c r="B2" i="6" l="1"/>
  <c r="E33" i="6" l="1"/>
  <c r="G3" i="6"/>
  <c r="F2" i="6"/>
  <c r="F33" i="6" s="1"/>
  <c r="G6" i="5" s="1"/>
  <c r="E4" i="6"/>
  <c r="E2" i="6"/>
  <c r="H33" i="6"/>
  <c r="G33" i="6"/>
  <c r="H6" i="5" s="1"/>
  <c r="D33" i="6"/>
  <c r="C33" i="6"/>
  <c r="D6" i="5" s="1"/>
  <c r="D16" i="5" s="1"/>
  <c r="B33" i="6"/>
  <c r="C6" i="5" s="1"/>
  <c r="J6" i="5" l="1"/>
  <c r="I33" i="6"/>
  <c r="L14" i="6"/>
  <c r="L16" i="6" s="1"/>
  <c r="B23" i="3"/>
  <c r="B22" i="3"/>
  <c r="B25" i="3" l="1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21" i="3"/>
  <c r="E33" i="1" l="1"/>
  <c r="F17" i="3"/>
  <c r="B12" i="3" l="1"/>
  <c r="E2" i="3" l="1"/>
  <c r="E4" i="3"/>
  <c r="E33" i="3"/>
  <c r="F5" i="5" s="1"/>
  <c r="F16" i="5" s="1"/>
  <c r="H33" i="4"/>
  <c r="G33" i="4"/>
  <c r="F33" i="4"/>
  <c r="D33" i="4"/>
  <c r="C33" i="4"/>
  <c r="B33" i="4"/>
  <c r="B7" i="3"/>
  <c r="B8" i="3"/>
  <c r="B9" i="3"/>
  <c r="B6" i="3"/>
  <c r="B5" i="3"/>
  <c r="H33" i="3"/>
  <c r="G33" i="3"/>
  <c r="H5" i="5" s="1"/>
  <c r="H16" i="5" s="1"/>
  <c r="F33" i="3"/>
  <c r="G5" i="5" s="1"/>
  <c r="G16" i="5" s="1"/>
  <c r="D33" i="3"/>
  <c r="E5" i="5" s="1"/>
  <c r="E16" i="5" s="1"/>
  <c r="C33" i="3"/>
  <c r="D33" i="1"/>
  <c r="F33" i="1"/>
  <c r="G33" i="1"/>
  <c r="H33" i="1"/>
  <c r="C33" i="1"/>
  <c r="B33" i="1"/>
  <c r="L14" i="4" l="1"/>
  <c r="L16" i="4" s="1"/>
  <c r="L14" i="1"/>
  <c r="L16" i="1" s="1"/>
  <c r="B33" i="3"/>
  <c r="L14" i="3" l="1"/>
  <c r="L16" i="3" s="1"/>
  <c r="C5" i="5"/>
  <c r="J5" i="5" l="1"/>
  <c r="C16" i="5"/>
  <c r="J16" i="5" s="1"/>
  <c r="N4" i="5" s="1"/>
  <c r="N5" i="5" s="1"/>
  <c r="I32" i="13"/>
  <c r="I33" i="13" s="1"/>
  <c r="H33" i="13"/>
  <c r="L14" i="13" s="1"/>
  <c r="L16" i="13" s="1"/>
  <c r="K12" i="5" s="1"/>
  <c r="K16" i="5" s="1"/>
</calcChain>
</file>

<file path=xl/sharedStrings.xml><?xml version="1.0" encoding="utf-8"?>
<sst xmlns="http://schemas.openxmlformats.org/spreadsheetml/2006/main" count="306" uniqueCount="99">
  <si>
    <t>Dia</t>
  </si>
  <si>
    <t>Alimentação</t>
  </si>
  <si>
    <t>Higiene</t>
  </si>
  <si>
    <t>Combustivel</t>
  </si>
  <si>
    <t>Saídas</t>
  </si>
  <si>
    <t>Total</t>
  </si>
  <si>
    <t>Outros</t>
  </si>
  <si>
    <t>Especificar Outros</t>
  </si>
  <si>
    <t>Rendimentos:</t>
  </si>
  <si>
    <t>Despesas:</t>
  </si>
  <si>
    <t>Saldo:</t>
  </si>
  <si>
    <t>Renda:</t>
  </si>
  <si>
    <t>Telecomunicações:</t>
  </si>
  <si>
    <t>sapatilhas e meias</t>
  </si>
  <si>
    <t>Viagens</t>
  </si>
  <si>
    <t>Total:</t>
  </si>
  <si>
    <t>hospital+farmácia</t>
  </si>
  <si>
    <t>boxers</t>
  </si>
  <si>
    <t>jantar posta</t>
  </si>
  <si>
    <t>+</t>
  </si>
  <si>
    <t>fato carnaval garrafa</t>
  </si>
  <si>
    <t>poker</t>
  </si>
  <si>
    <t>tuppware</t>
  </si>
  <si>
    <t>dentista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</si>
  <si>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</si>
  <si>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</si>
  <si>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</si>
  <si>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</si>
  <si>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</si>
  <si>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</si>
  <si>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</si>
  <si>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</si>
  <si>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</si>
  <si>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</si>
  <si>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</si>
  <si>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</si>
  <si>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Renda</t>
  </si>
  <si>
    <t>futsal</t>
  </si>
  <si>
    <t>jornal</t>
  </si>
  <si>
    <t>mcdonals</t>
  </si>
  <si>
    <t>c3</t>
  </si>
  <si>
    <t>mc_calças_sapatilha</t>
  </si>
  <si>
    <t>livita</t>
  </si>
  <si>
    <t>cinema</t>
  </si>
  <si>
    <t xml:space="preserve">jantar+garrafa gin </t>
  </si>
  <si>
    <t>degema</t>
  </si>
  <si>
    <t>calções</t>
  </si>
  <si>
    <t>raquetes+toalha</t>
  </si>
  <si>
    <t>queima</t>
  </si>
  <si>
    <t>erdinger+burger</t>
  </si>
  <si>
    <t>benfica campeao</t>
  </si>
  <si>
    <t>braga romana</t>
  </si>
  <si>
    <t>jantar+rally</t>
  </si>
  <si>
    <t>.</t>
  </si>
  <si>
    <t>cola</t>
  </si>
  <si>
    <t>taberna belga  prozis</t>
  </si>
  <si>
    <t>mac</t>
  </si>
  <si>
    <t>lavar carro</t>
  </si>
  <si>
    <t>figueira+anos jonhy+fisio</t>
  </si>
  <si>
    <t>relogio</t>
  </si>
  <si>
    <t>clizone</t>
  </si>
  <si>
    <t>acessorios relogio</t>
  </si>
  <si>
    <t>revolut</t>
  </si>
  <si>
    <t>Lucro</t>
  </si>
  <si>
    <t>Despesas(ALGT):</t>
  </si>
  <si>
    <t>casaco+calçoes</t>
  </si>
  <si>
    <t>posta</t>
  </si>
  <si>
    <t>liq carro+vassoura</t>
  </si>
  <si>
    <t>jacó</t>
  </si>
  <si>
    <t>bo-zen + piscina</t>
  </si>
  <si>
    <t>sub ferias</t>
  </si>
  <si>
    <t>expo</t>
  </si>
  <si>
    <t>expo+c3</t>
  </si>
  <si>
    <t>aparelho</t>
  </si>
  <si>
    <t>casa</t>
  </si>
  <si>
    <t>praia</t>
  </si>
  <si>
    <t>canudo</t>
  </si>
  <si>
    <t>continente</t>
  </si>
  <si>
    <t>consulta joelho</t>
  </si>
  <si>
    <t>trotinetes</t>
  </si>
  <si>
    <t>vegan</t>
  </si>
  <si>
    <t>prozis; gearbest</t>
  </si>
  <si>
    <t>posta+ba</t>
  </si>
  <si>
    <t>telemovel+sapatilhas</t>
  </si>
  <si>
    <t>consulta+medic</t>
  </si>
  <si>
    <t>disfarce hallowen</t>
  </si>
  <si>
    <t>fifa+comando</t>
  </si>
  <si>
    <t>consulta</t>
  </si>
  <si>
    <t>tac</t>
  </si>
  <si>
    <t>roupa+prenda</t>
  </si>
  <si>
    <t>inspcção</t>
  </si>
  <si>
    <t>gorro</t>
  </si>
  <si>
    <t>ps4 plus</t>
  </si>
  <si>
    <t>v.porto</t>
  </si>
  <si>
    <t>jantar bosch</t>
  </si>
  <si>
    <t>prendas+camisola</t>
  </si>
  <si>
    <t>pizza+dentista</t>
  </si>
  <si>
    <t>casaco</t>
  </si>
  <si>
    <t>airpods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</si>
</sst>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u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4" borderId="5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0" fillId="5" borderId="15" xfId="0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2" fillId="6" borderId="17" xfId="0" applyFont="1" applyFill="1" applyBorder="1" applyAlignment="1">
      <alignment horizontal="right"/>
    </xf>
    <xf numFmtId="0" fontId="3" fillId="0" borderId="18" xfId="0" applyFont="1" applyBorder="1"/>
    <xf numFmtId="0" fontId="3" fillId="0" borderId="20" xfId="0" applyFont="1" applyBorder="1"/>
    <xf numFmtId="0" fontId="1" fillId="0" borderId="19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6" borderId="19" xfId="0" applyFont="1" applyFill="1" applyBorder="1" applyAlignment="1">
      <alignment horizontal="right"/>
    </xf>
    <xf numFmtId="0" fontId="3" fillId="7" borderId="16" xfId="0" applyFont="1" applyFill="1" applyBorder="1"/>
    <xf numFmtId="0" fontId="3" fillId="7" borderId="18" xfId="0" applyFont="1" applyFill="1" applyBorder="1"/>
    <xf numFmtId="0" fontId="3" fillId="8" borderId="5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20" xfId="0" applyFont="1" applyFill="1" applyBorder="1"/>
    <xf numFmtId="0" fontId="3" fillId="10" borderId="16" xfId="0" applyFont="1" applyFill="1" applyBorder="1"/>
    <xf numFmtId="0" fontId="2" fillId="11" borderId="1" xfId="0" applyFont="1" applyFill="1" applyBorder="1"/>
    <xf numFmtId="0" fontId="0" fillId="0" borderId="22" xfId="0" applyBorder="1"/>
    <xf numFmtId="0" fontId="2" fillId="11" borderId="21" xfId="0" applyFont="1" applyFill="1" applyBorder="1"/>
    <xf numFmtId="0" fontId="3" fillId="12" borderId="5" xfId="0" applyFont="1" applyFill="1" applyBorder="1" applyAlignment="1">
      <alignment horizontal="right"/>
    </xf>
    <xf numFmtId="0" fontId="4" fillId="12" borderId="11" xfId="0" applyFont="1" applyFill="1" applyBorder="1" applyAlignment="1">
      <alignment horizontal="right"/>
    </xf>
    <xf numFmtId="0" fontId="4" fillId="12" borderId="2" xfId="0" applyFont="1" applyFill="1" applyBorder="1" applyAlignment="1">
      <alignment horizontal="right"/>
    </xf>
    <xf numFmtId="0" fontId="3" fillId="12" borderId="12" xfId="0" applyFont="1" applyFill="1" applyBorder="1" applyAlignment="1">
      <alignment horizontal="right"/>
    </xf>
    <xf numFmtId="0" fontId="4" fillId="12" borderId="13" xfId="0" applyFont="1" applyFill="1" applyBorder="1" applyAlignment="1">
      <alignment horizontal="right"/>
    </xf>
    <xf numFmtId="0" fontId="4" fillId="12" borderId="14" xfId="0" applyFont="1" applyFill="1" applyBorder="1" applyAlignment="1">
      <alignment horizontal="right"/>
    </xf>
    <xf numFmtId="0" fontId="3" fillId="4" borderId="12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right"/>
    </xf>
    <xf numFmtId="0" fontId="3" fillId="2" borderId="24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right"/>
    </xf>
    <xf numFmtId="0" fontId="0" fillId="5" borderId="26" xfId="0" applyFill="1" applyBorder="1" applyAlignment="1">
      <alignment horizontal="right"/>
    </xf>
    <xf numFmtId="0" fontId="3" fillId="2" borderId="2" xfId="0" applyFont="1" applyFill="1" applyBorder="1"/>
    <xf numFmtId="0" fontId="3" fillId="2" borderId="14" xfId="0" applyFont="1" applyFill="1" applyBorder="1"/>
    <xf numFmtId="0" fontId="3" fillId="5" borderId="1" xfId="0" applyFont="1" applyFill="1" applyBorder="1"/>
    <xf numFmtId="0" fontId="3" fillId="2" borderId="6" xfId="0" applyFont="1" applyFill="1" applyBorder="1"/>
    <xf numFmtId="0" fontId="3" fillId="3" borderId="1" xfId="0" applyFont="1" applyFill="1" applyBorder="1"/>
    <xf numFmtId="0" fontId="0" fillId="5" borderId="1" xfId="0" applyFill="1" applyBorder="1" applyAlignment="1">
      <alignment horizontal="right"/>
    </xf>
    <xf numFmtId="0" fontId="2" fillId="3" borderId="26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21" xfId="0" applyFont="1" applyFill="1" applyBorder="1" applyAlignment="1">
      <alignment horizontal="right"/>
    </xf>
    <xf numFmtId="0" fontId="3" fillId="2" borderId="27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0" fillId="5" borderId="1" xfId="0" applyFill="1" applyBorder="1"/>
    <xf numFmtId="0" fontId="3" fillId="13" borderId="6" xfId="0" applyFont="1" applyFill="1" applyBorder="1"/>
    <xf numFmtId="0" fontId="2" fillId="3" borderId="1" xfId="0" applyFont="1" applyFill="1" applyBorder="1"/>
    <xf numFmtId="0" fontId="0" fillId="0" borderId="29" xfId="0" applyBorder="1"/>
    <xf numFmtId="0" fontId="0" fillId="0" borderId="2" xfId="0" applyBorder="1"/>
    <xf numFmtId="0" fontId="0" fillId="0" borderId="11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5" fillId="4" borderId="36" xfId="0" applyFont="1" applyFill="1" applyBorder="1"/>
    <xf numFmtId="0" fontId="2" fillId="3" borderId="28" xfId="0" applyFont="1" applyFill="1" applyBorder="1" applyAlignment="1">
      <alignment horizontal="right"/>
    </xf>
    <xf numFmtId="0" fontId="5" fillId="4" borderId="37" xfId="0" applyFont="1" applyFill="1" applyBorder="1"/>
    <xf numFmtId="0" fontId="5" fillId="4" borderId="38" xfId="0" applyFont="1" applyFill="1" applyBorder="1"/>
    <xf numFmtId="0" fontId="0" fillId="0" borderId="4" xfId="0" applyBorder="1"/>
    <xf numFmtId="0" fontId="0" fillId="0" borderId="5" xfId="0" applyBorder="1"/>
    <xf numFmtId="0" fontId="0" fillId="0" borderId="39" xfId="0" applyBorder="1"/>
    <xf numFmtId="0" fontId="0" fillId="0" borderId="18" xfId="0" applyBorder="1"/>
    <xf numFmtId="0" fontId="0" fillId="0" borderId="1" xfId="0" applyBorder="1"/>
    <xf numFmtId="0" fontId="6" fillId="15" borderId="5" xfId="0" applyFont="1" applyFill="1" applyBorder="1" applyAlignment="1">
      <alignment horizontal="right"/>
    </xf>
    <xf numFmtId="0" fontId="3" fillId="15" borderId="5" xfId="0" applyFont="1" applyFill="1" applyBorder="1" applyAlignment="1">
      <alignment horizontal="right"/>
    </xf>
    <xf numFmtId="0" fontId="3" fillId="12" borderId="13" xfId="0" applyFont="1" applyFill="1" applyBorder="1" applyAlignment="1">
      <alignment horizontal="right"/>
    </xf>
    <xf numFmtId="0" fontId="3" fillId="12" borderId="14" xfId="0" applyFont="1" applyFill="1" applyBorder="1" applyAlignment="1">
      <alignment horizontal="right"/>
    </xf>
    <xf numFmtId="0" fontId="3" fillId="12" borderId="25" xfId="0" applyFont="1" applyFill="1" applyBorder="1" applyAlignment="1">
      <alignment horizontal="right"/>
    </xf>
    <xf numFmtId="0" fontId="3" fillId="12" borderId="6" xfId="0" applyFont="1" applyFill="1" applyBorder="1"/>
    <xf numFmtId="0" fontId="3" fillId="14" borderId="4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2" fillId="14" borderId="3" xfId="0" applyFont="1" applyFill="1" applyBorder="1" applyAlignment="1">
      <alignment horizontal="right"/>
    </xf>
    <xf numFmtId="0" fontId="0" fillId="0" borderId="36" xfId="0" applyBorder="1"/>
    <xf numFmtId="0" fontId="0" fillId="0" borderId="40" xfId="0" applyBorder="1"/>
    <xf numFmtId="0" fontId="0" fillId="0" borderId="21" xfId="0" applyBorder="1"/>
    <xf numFmtId="0" fontId="2" fillId="16" borderId="1" xfId="0" applyFont="1" applyFill="1" applyBorder="1" applyAlignment="1">
      <alignment horizontal="right"/>
    </xf>
    <xf numFmtId="0" fontId="3" fillId="14" borderId="5" xfId="0" applyFont="1" applyFill="1" applyBorder="1" applyAlignment="1">
      <alignment horizontal="right"/>
    </xf>
    <xf numFmtId="0" fontId="3" fillId="2" borderId="31" xfId="0" applyFont="1" applyFill="1" applyBorder="1" applyAlignment="1">
      <alignment horizontal="right"/>
    </xf>
    <xf numFmtId="0" fontId="3" fillId="14" borderId="12" xfId="0" applyFont="1" applyFill="1" applyBorder="1" applyAlignment="1">
      <alignment horizontal="right"/>
    </xf>
    <xf numFmtId="0" fontId="3" fillId="17" borderId="11" xfId="0" applyFont="1" applyFill="1" applyBorder="1" applyAlignment="1">
      <alignment horizontal="right"/>
    </xf>
    <xf numFmtId="0" fontId="3" fillId="17" borderId="2" xfId="0" applyFont="1" applyFill="1" applyBorder="1" applyAlignment="1">
      <alignment horizontal="right"/>
    </xf>
    <xf numFmtId="0" fontId="3" fillId="17" borderId="24" xfId="0" applyFont="1" applyFill="1" applyBorder="1" applyAlignment="1">
      <alignment horizontal="right"/>
    </xf>
    <xf numFmtId="0" fontId="0" fillId="0" borderId="37" xfId="0" applyBorder="1"/>
    <xf numFmtId="0" fontId="3" fillId="18" borderId="4" xfId="0" applyFont="1" applyFill="1" applyBorder="1" applyAlignment="1">
      <alignment horizontal="right"/>
    </xf>
    <xf numFmtId="0" fontId="3" fillId="0" borderId="41" xfId="0" applyFont="1" applyBorder="1"/>
    <xf numFmtId="0" fontId="3" fillId="2" borderId="30" xfId="0" applyFont="1" applyFill="1" applyBorder="1" applyAlignment="1">
      <alignment horizontal="right"/>
    </xf>
    <xf numFmtId="0" fontId="0" fillId="0" borderId="42" xfId="0" applyBorder="1"/>
    <xf numFmtId="0" fontId="0" fillId="0" borderId="43" xfId="0" applyBorder="1"/>
    <xf numFmtId="0" fontId="7" fillId="2" borderId="2" xfId="0" applyFont="1" applyFill="1" applyBorder="1" applyAlignment="1">
      <alignment horizontal="right"/>
    </xf>
    <xf numFmtId="0" fontId="7" fillId="0" borderId="0" xfId="0" applyFo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Despesas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Saldo!$C$3</c:f>
              <c:strCache>
                <c:ptCount val="1"/>
                <c:pt idx="0">
                  <c:v>Alimentação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Saldo!$C$4:$C$15</c:f>
              <c:numCache>
                <c:formatCode>General</c:formatCode>
                <c:ptCount val="12"/>
                <c:pt idx="0">
                  <c:v>83.56</c:v>
                </c:pt>
                <c:pt idx="1">
                  <c:v>118.18000000000004</c:v>
                </c:pt>
                <c:pt idx="2">
                  <c:v>117.77</c:v>
                </c:pt>
                <c:pt idx="3">
                  <c:v>85.19</c:v>
                </c:pt>
                <c:pt idx="4">
                  <c:v>51.860000000000021</c:v>
                </c:pt>
                <c:pt idx="5">
                  <c:v>65.449999999999989</c:v>
                </c:pt>
                <c:pt idx="6">
                  <c:v>70.239999999999981</c:v>
                </c:pt>
                <c:pt idx="7">
                  <c:v>146.51999999999998</c:v>
                </c:pt>
                <c:pt idx="8">
                  <c:v>135.38999999999999</c:v>
                </c:pt>
                <c:pt idx="9">
                  <c:v>117.91000000000005</c:v>
                </c:pt>
                <c:pt idx="10">
                  <c:v>106.35999999999999</c:v>
                </c:pt>
                <c:pt idx="11">
                  <c:v>100.93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Saldo!$D$3</c:f>
              <c:strCache>
                <c:ptCount val="1"/>
                <c:pt idx="0">
                  <c:v>Higiene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Saldo!$D$4:$D$15</c:f>
              <c:numCache>
                <c:formatCode>General</c:formatCode>
                <c:ptCount val="12"/>
                <c:pt idx="0">
                  <c:v>22.99</c:v>
                </c:pt>
                <c:pt idx="1">
                  <c:v>0</c:v>
                </c:pt>
                <c:pt idx="2">
                  <c:v>9.7899999999999991</c:v>
                </c:pt>
                <c:pt idx="3">
                  <c:v>0</c:v>
                </c:pt>
                <c:pt idx="4">
                  <c:v>9.31</c:v>
                </c:pt>
                <c:pt idx="5">
                  <c:v>0.59</c:v>
                </c:pt>
                <c:pt idx="6">
                  <c:v>11.299999999999999</c:v>
                </c:pt>
                <c:pt idx="7">
                  <c:v>0</c:v>
                </c:pt>
                <c:pt idx="8">
                  <c:v>14.16</c:v>
                </c:pt>
                <c:pt idx="9">
                  <c:v>8.9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Saldo!$E$3</c:f>
              <c:strCache>
                <c:ptCount val="1"/>
                <c:pt idx="0">
                  <c:v>Combustivel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Saldo!$E$4:$E$15</c:f>
              <c:numCache>
                <c:formatCode>General</c:formatCode>
                <c:ptCount val="12"/>
                <c:pt idx="0">
                  <c:v>30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70</c:v>
                </c:pt>
                <c:pt idx="5">
                  <c:v>50</c:v>
                </c:pt>
                <c:pt idx="6">
                  <c:v>66</c:v>
                </c:pt>
                <c:pt idx="7">
                  <c:v>75</c:v>
                </c:pt>
                <c:pt idx="8">
                  <c:v>15</c:v>
                </c:pt>
                <c:pt idx="9">
                  <c:v>90</c:v>
                </c:pt>
                <c:pt idx="10">
                  <c:v>60</c:v>
                </c:pt>
                <c:pt idx="11">
                  <c:v>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Saldo!$F$3</c:f>
              <c:strCache>
                <c:ptCount val="1"/>
                <c:pt idx="0">
                  <c:v>Viagens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Saldo!$F$4:$F$15</c:f>
              <c:numCache>
                <c:formatCode>General</c:formatCode>
                <c:ptCount val="12"/>
                <c:pt idx="0">
                  <c:v>30</c:v>
                </c:pt>
                <c:pt idx="1">
                  <c:v>62.78</c:v>
                </c:pt>
                <c:pt idx="2">
                  <c:v>58.01</c:v>
                </c:pt>
                <c:pt idx="3">
                  <c:v>58.3</c:v>
                </c:pt>
                <c:pt idx="4">
                  <c:v>67.38</c:v>
                </c:pt>
                <c:pt idx="5">
                  <c:v>48.3</c:v>
                </c:pt>
                <c:pt idx="6">
                  <c:v>48.2</c:v>
                </c:pt>
                <c:pt idx="7">
                  <c:v>32</c:v>
                </c:pt>
                <c:pt idx="8">
                  <c:v>27.5</c:v>
                </c:pt>
                <c:pt idx="9">
                  <c:v>26.6</c:v>
                </c:pt>
                <c:pt idx="10">
                  <c:v>20</c:v>
                </c:pt>
                <c:pt idx="11">
                  <c:v>79.5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Saldo!$G$3</c:f>
              <c:strCache>
                <c:ptCount val="1"/>
                <c:pt idx="0">
                  <c:v>Saídas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Saldo!$G$4:$G$15</c:f>
              <c:numCache>
                <c:formatCode>General</c:formatCode>
                <c:ptCount val="12"/>
                <c:pt idx="0">
                  <c:v>20</c:v>
                </c:pt>
                <c:pt idx="1">
                  <c:v>11.95</c:v>
                </c:pt>
                <c:pt idx="2">
                  <c:v>48.55</c:v>
                </c:pt>
                <c:pt idx="3">
                  <c:v>148.44999999999999</c:v>
                </c:pt>
                <c:pt idx="4">
                  <c:v>128.64999999999998</c:v>
                </c:pt>
                <c:pt idx="5">
                  <c:v>159.51</c:v>
                </c:pt>
                <c:pt idx="6">
                  <c:v>154.39999999999998</c:v>
                </c:pt>
                <c:pt idx="7">
                  <c:v>217.8</c:v>
                </c:pt>
                <c:pt idx="8">
                  <c:v>109.5</c:v>
                </c:pt>
                <c:pt idx="9">
                  <c:v>122.6</c:v>
                </c:pt>
                <c:pt idx="10">
                  <c:v>90.9</c:v>
                </c:pt>
                <c:pt idx="11">
                  <c:v>146.69999999999999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Saldo!$H$3</c:f>
              <c:strCache>
                <c:ptCount val="1"/>
                <c:pt idx="0">
                  <c:v>Outros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Saldo!$H$4:$H$15</c:f>
              <c:numCache>
                <c:formatCode>General</c:formatCode>
                <c:ptCount val="12"/>
                <c:pt idx="0">
                  <c:v>0</c:v>
                </c:pt>
                <c:pt idx="1">
                  <c:v>95.08</c:v>
                </c:pt>
                <c:pt idx="2">
                  <c:v>102.06</c:v>
                </c:pt>
                <c:pt idx="3">
                  <c:v>149.46</c:v>
                </c:pt>
                <c:pt idx="4">
                  <c:v>68.990000000000009</c:v>
                </c:pt>
                <c:pt idx="5">
                  <c:v>218.95</c:v>
                </c:pt>
                <c:pt idx="6">
                  <c:v>161.19</c:v>
                </c:pt>
                <c:pt idx="7">
                  <c:v>577.5</c:v>
                </c:pt>
                <c:pt idx="8">
                  <c:v>90</c:v>
                </c:pt>
                <c:pt idx="9">
                  <c:v>210.19</c:v>
                </c:pt>
                <c:pt idx="10">
                  <c:v>333.74</c:v>
                </c:pt>
                <c:pt idx="11">
                  <c:v>318.75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02944"/>
        <c:axId val="1422400224"/>
      </c:lineChart>
      <c:catAx>
        <c:axId val="142240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22400224"/>
        <c:crosses val="autoZero"/>
        <c:auto val="1"/>
        <c:lblAlgn val="ctr"/>
        <c:lblOffset val="100"/>
        <c:noMultiLvlLbl val="0"/>
      </c:catAx>
      <c:valAx>
        <c:axId val="14224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224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39325807165668"/>
          <c:y val="0.1129813049684579"/>
          <c:w val="0.12196818771147583"/>
          <c:h val="0.82237049316203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Despesas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Despesas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Saldo!$J$4:$J$15</c:f>
              <c:numCache>
                <c:formatCode>General</c:formatCode>
                <c:ptCount val="12"/>
                <c:pt idx="0">
                  <c:v>276.55</c:v>
                </c:pt>
                <c:pt idx="1">
                  <c:v>597.99</c:v>
                </c:pt>
                <c:pt idx="2">
                  <c:v>666.18000000000006</c:v>
                </c:pt>
                <c:pt idx="3">
                  <c:v>791.4</c:v>
                </c:pt>
                <c:pt idx="4">
                  <c:v>646.19000000000005</c:v>
                </c:pt>
                <c:pt idx="5">
                  <c:v>792.8</c:v>
                </c:pt>
                <c:pt idx="6">
                  <c:v>784.82999999999993</c:v>
                </c:pt>
                <c:pt idx="7">
                  <c:v>1316.32</c:v>
                </c:pt>
                <c:pt idx="8">
                  <c:v>648.54999999999995</c:v>
                </c:pt>
                <c:pt idx="9">
                  <c:v>851.2</c:v>
                </c:pt>
                <c:pt idx="10">
                  <c:v>877</c:v>
                </c:pt>
                <c:pt idx="11">
                  <c:v>946.48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Saldo!$K$3</c:f>
              <c:strCache>
                <c:ptCount val="1"/>
                <c:pt idx="0">
                  <c:v>Lucro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Saldo!$B$4:$B$15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Saldo!$K$4:$K$15</c:f>
              <c:numCache>
                <c:formatCode>General</c:formatCode>
                <c:ptCount val="12"/>
                <c:pt idx="0">
                  <c:v>130.82999999999998</c:v>
                </c:pt>
                <c:pt idx="1">
                  <c:v>318.01</c:v>
                </c:pt>
                <c:pt idx="2">
                  <c:v>249.81999999999994</c:v>
                </c:pt>
                <c:pt idx="3">
                  <c:v>268.60000000000002</c:v>
                </c:pt>
                <c:pt idx="4">
                  <c:v>300.20999999999992</c:v>
                </c:pt>
                <c:pt idx="5">
                  <c:v>123.70000000000005</c:v>
                </c:pt>
                <c:pt idx="6">
                  <c:v>1057.3200000000002</c:v>
                </c:pt>
                <c:pt idx="7">
                  <c:v>-399.81999999999994</c:v>
                </c:pt>
                <c:pt idx="8">
                  <c:v>278.71000000000004</c:v>
                </c:pt>
                <c:pt idx="9">
                  <c:v>64.799999999999955</c:v>
                </c:pt>
                <c:pt idx="10">
                  <c:v>918</c:v>
                </c:pt>
                <c:pt idx="11">
                  <c:v>170.01999999999998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04032"/>
        <c:axId val="1422393152"/>
      </c:lineChart>
      <c:catAx>
        <c:axId val="14224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22393152"/>
        <c:crosses val="autoZero"/>
        <c:auto val="1"/>
        <c:lblAlgn val="ctr"/>
        <c:lblOffset val="100"/>
        <c:noMultiLvlLbl val="0"/>
      </c:catAx>
      <c:valAx>
        <c:axId val="142239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2240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96344605860442"/>
          <c:y val="0.14949415938392316"/>
          <c:w val="0.12987849923014944"/>
          <c:h val="0.20439629661676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10</xdr:col>
      <xdr:colOff>133350</xdr:colOff>
      <xdr:row>22</xdr:row>
      <xdr:rowOff>142875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161925</xdr:colOff>
      <xdr:row>0</xdr:row>
      <xdr:rowOff>0</xdr:rowOff>
    </xdr:from>
    <xdr:to>
      <xdr:col>20</xdr:col>
      <xdr:colOff>333375</xdr:colOff>
      <xdr:row>22</xdr:row>
      <xdr:rowOff>142875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B33" sqref="B33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/>
    </row>
    <row r="2" spans="1:12" ht="16.2" thickBot="1" x14ac:dyDescent="0.35">
      <c r="A2" s="26">
        <v>1</v>
      </c>
      <c r="B2" s="53"/>
      <c r="C2" s="54"/>
      <c r="D2" s="10"/>
      <c r="E2" s="6"/>
      <c r="F2" s="6"/>
      <c r="G2" s="6"/>
      <c r="H2" s="40"/>
      <c r="I2" s="56">
        <f>SUM(B2:H2)</f>
        <v>0</v>
      </c>
      <c r="J2" s="1"/>
      <c r="K2" s="17" t="s">
        <v>12</v>
      </c>
      <c r="L2" s="24"/>
    </row>
    <row r="3" spans="1:12" ht="15.6" x14ac:dyDescent="0.3">
      <c r="A3" s="25">
        <v>2</v>
      </c>
      <c r="B3" s="11"/>
      <c r="C3" s="6"/>
      <c r="D3" s="5"/>
      <c r="E3" s="5"/>
      <c r="F3" s="5"/>
      <c r="G3" s="5"/>
      <c r="H3" s="41"/>
      <c r="I3" s="56">
        <f t="shared" ref="I3:I32" si="0">SUM(B3:H3)</f>
        <v>0</v>
      </c>
      <c r="J3" s="1"/>
      <c r="K3" s="2"/>
      <c r="L3" s="1"/>
    </row>
    <row r="4" spans="1:12" ht="15.6" x14ac:dyDescent="0.3">
      <c r="A4" s="25">
        <v>3</v>
      </c>
      <c r="B4" s="11"/>
      <c r="C4" s="5"/>
      <c r="D4" s="5"/>
      <c r="E4" s="5"/>
      <c r="F4" s="5"/>
      <c r="G4" s="5"/>
      <c r="H4" s="41"/>
      <c r="I4" s="56">
        <f t="shared" si="0"/>
        <v>0</v>
      </c>
      <c r="J4" s="1"/>
      <c r="K4" s="3"/>
      <c r="L4" s="1"/>
    </row>
    <row r="5" spans="1:12" ht="15.6" x14ac:dyDescent="0.3">
      <c r="A5" s="25">
        <v>4</v>
      </c>
      <c r="B5" s="11"/>
      <c r="C5" s="5"/>
      <c r="D5" s="5"/>
      <c r="E5" s="5"/>
      <c r="F5" s="5"/>
      <c r="G5" s="5"/>
      <c r="H5" s="41"/>
      <c r="I5" s="56">
        <f t="shared" si="0"/>
        <v>0</v>
      </c>
      <c r="J5" s="1"/>
      <c r="K5" s="3"/>
      <c r="L5" s="1"/>
    </row>
    <row r="6" spans="1:12" ht="15.6" x14ac:dyDescent="0.3">
      <c r="A6" s="25">
        <v>5</v>
      </c>
      <c r="B6" s="11"/>
      <c r="C6" s="5"/>
      <c r="D6" s="5"/>
      <c r="E6" s="5"/>
      <c r="F6" s="5"/>
      <c r="G6" s="5"/>
      <c r="H6" s="41"/>
      <c r="I6" s="56">
        <f t="shared" si="0"/>
        <v>0</v>
      </c>
      <c r="J6" s="1"/>
      <c r="K6" s="3"/>
      <c r="L6" s="1"/>
    </row>
    <row r="7" spans="1:12" ht="15.6" x14ac:dyDescent="0.3">
      <c r="A7" s="25">
        <v>6</v>
      </c>
      <c r="B7" s="11"/>
      <c r="C7" s="5"/>
      <c r="D7" s="5"/>
      <c r="E7" s="5"/>
      <c r="F7" s="5"/>
      <c r="G7" s="5"/>
      <c r="H7" s="41"/>
      <c r="I7" s="56">
        <f t="shared" si="0"/>
        <v>0</v>
      </c>
      <c r="J7" s="1"/>
      <c r="K7" s="3"/>
      <c r="L7" s="1"/>
    </row>
    <row r="8" spans="1:12" ht="15.6" x14ac:dyDescent="0.3">
      <c r="A8" s="25">
        <v>7</v>
      </c>
      <c r="B8" s="11"/>
      <c r="C8" s="5"/>
      <c r="D8" s="5"/>
      <c r="E8" s="5"/>
      <c r="F8" s="5"/>
      <c r="G8" s="5"/>
      <c r="H8" s="41"/>
      <c r="I8" s="56">
        <f t="shared" si="0"/>
        <v>0</v>
      </c>
      <c r="J8" s="1"/>
      <c r="K8" s="3"/>
      <c r="L8" s="1"/>
    </row>
    <row r="9" spans="1:12" ht="15.6" x14ac:dyDescent="0.3">
      <c r="A9" s="25">
        <v>8</v>
      </c>
      <c r="B9" s="11"/>
      <c r="C9" s="5"/>
      <c r="D9" s="5"/>
      <c r="E9" s="5"/>
      <c r="F9" s="5"/>
      <c r="G9" s="5"/>
      <c r="H9" s="41"/>
      <c r="I9" s="56">
        <f t="shared" si="0"/>
        <v>0</v>
      </c>
      <c r="J9" s="1"/>
      <c r="K9" s="3"/>
      <c r="L9" s="1"/>
    </row>
    <row r="10" spans="1:12" ht="15.6" x14ac:dyDescent="0.3">
      <c r="A10" s="25">
        <v>9</v>
      </c>
      <c r="B10" s="11"/>
      <c r="C10" s="5"/>
      <c r="D10" s="5"/>
      <c r="E10" s="5"/>
      <c r="F10" s="5"/>
      <c r="G10" s="5"/>
      <c r="H10" s="41"/>
      <c r="I10" s="56">
        <f t="shared" si="0"/>
        <v>0</v>
      </c>
      <c r="J10" s="1"/>
      <c r="K10" s="3"/>
      <c r="L10" s="1"/>
    </row>
    <row r="11" spans="1:12" ht="15.6" x14ac:dyDescent="0.3">
      <c r="A11" s="25">
        <v>10</v>
      </c>
      <c r="B11" s="11"/>
      <c r="C11" s="5"/>
      <c r="D11" s="5"/>
      <c r="E11" s="5"/>
      <c r="F11" s="5"/>
      <c r="G11" s="5"/>
      <c r="H11" s="41"/>
      <c r="I11" s="56">
        <f t="shared" si="0"/>
        <v>0</v>
      </c>
      <c r="J11" s="1"/>
      <c r="K11" s="3"/>
      <c r="L11" s="1"/>
    </row>
    <row r="12" spans="1:12" ht="16.2" thickBot="1" x14ac:dyDescent="0.35">
      <c r="A12" s="25">
        <v>11</v>
      </c>
      <c r="B12" s="11"/>
      <c r="C12" s="5"/>
      <c r="D12" s="5"/>
      <c r="E12" s="5"/>
      <c r="F12" s="5"/>
      <c r="G12" s="5"/>
      <c r="H12" s="41"/>
      <c r="I12" s="56">
        <f t="shared" si="0"/>
        <v>0</v>
      </c>
      <c r="J12" s="1"/>
      <c r="K12" s="3"/>
      <c r="L12" s="1"/>
    </row>
    <row r="13" spans="1:12" ht="15.6" x14ac:dyDescent="0.3">
      <c r="A13" s="25">
        <v>12</v>
      </c>
      <c r="B13" s="11"/>
      <c r="C13" s="5"/>
      <c r="D13" s="5"/>
      <c r="E13" s="5"/>
      <c r="F13" s="5"/>
      <c r="G13" s="5"/>
      <c r="H13" s="41"/>
      <c r="I13" s="56">
        <f t="shared" si="0"/>
        <v>0</v>
      </c>
      <c r="J13" s="1"/>
      <c r="K13" s="16" t="s">
        <v>8</v>
      </c>
      <c r="L13" s="29"/>
    </row>
    <row r="14" spans="1:12" ht="15.6" x14ac:dyDescent="0.3">
      <c r="A14" s="25">
        <v>13</v>
      </c>
      <c r="B14" s="11"/>
      <c r="C14" s="5"/>
      <c r="D14" s="5"/>
      <c r="E14" s="5"/>
      <c r="F14" s="5"/>
      <c r="G14" s="5"/>
      <c r="H14" s="41"/>
      <c r="I14" s="56">
        <f t="shared" si="0"/>
        <v>0</v>
      </c>
      <c r="J14" s="1"/>
      <c r="K14" s="22" t="s">
        <v>9</v>
      </c>
      <c r="L14" s="28">
        <f>SUM(B33:H33)+L1+L2</f>
        <v>0</v>
      </c>
    </row>
    <row r="15" spans="1:12" ht="15.6" x14ac:dyDescent="0.3">
      <c r="A15" s="25">
        <v>14</v>
      </c>
      <c r="B15" s="11"/>
      <c r="C15" s="5"/>
      <c r="D15" s="5"/>
      <c r="E15" s="5"/>
      <c r="F15" s="5"/>
      <c r="G15" s="5"/>
      <c r="H15" s="41"/>
      <c r="I15" s="56">
        <f t="shared" si="0"/>
        <v>0</v>
      </c>
      <c r="J15" s="1"/>
      <c r="K15" s="20"/>
      <c r="L15" s="19"/>
    </row>
    <row r="16" spans="1:12" ht="16.2" thickBot="1" x14ac:dyDescent="0.35">
      <c r="A16" s="25">
        <v>15</v>
      </c>
      <c r="B16" s="11"/>
      <c r="C16" s="5"/>
      <c r="D16" s="5"/>
      <c r="E16" s="5"/>
      <c r="F16" s="5"/>
      <c r="G16" s="5"/>
      <c r="H16" s="41"/>
      <c r="I16" s="56">
        <f t="shared" si="0"/>
        <v>0</v>
      </c>
      <c r="J16" s="1"/>
      <c r="K16" s="21" t="s">
        <v>10</v>
      </c>
      <c r="L16" s="18">
        <f>L13-L14</f>
        <v>0</v>
      </c>
    </row>
    <row r="17" spans="1:12" ht="15.6" x14ac:dyDescent="0.3">
      <c r="A17" s="25">
        <v>16</v>
      </c>
      <c r="B17" s="11"/>
      <c r="C17" s="5"/>
      <c r="D17" s="5"/>
      <c r="E17" s="5"/>
      <c r="F17" s="5"/>
      <c r="G17" s="5"/>
      <c r="H17" s="41"/>
      <c r="I17" s="56">
        <f t="shared" si="0"/>
        <v>0</v>
      </c>
      <c r="J17" s="1"/>
      <c r="K17" s="1"/>
      <c r="L17" s="1"/>
    </row>
    <row r="18" spans="1:12" ht="15.6" x14ac:dyDescent="0.3">
      <c r="A18" s="25">
        <v>17</v>
      </c>
      <c r="B18" s="11"/>
      <c r="C18" s="5"/>
      <c r="D18" s="5"/>
      <c r="E18" s="5"/>
      <c r="F18" s="5"/>
      <c r="G18" s="5"/>
      <c r="H18" s="41"/>
      <c r="I18" s="56">
        <f t="shared" si="0"/>
        <v>0</v>
      </c>
      <c r="J18" s="1"/>
      <c r="K18" s="1"/>
      <c r="L18" s="1"/>
    </row>
    <row r="19" spans="1:12" ht="15.6" x14ac:dyDescent="0.3">
      <c r="A19" s="25">
        <v>18</v>
      </c>
      <c r="B19" s="11"/>
      <c r="C19" s="5"/>
      <c r="D19" s="5"/>
      <c r="E19" s="5"/>
      <c r="F19" s="5"/>
      <c r="G19" s="5"/>
      <c r="H19" s="41"/>
      <c r="I19" s="56">
        <f t="shared" si="0"/>
        <v>0</v>
      </c>
      <c r="J19" s="1"/>
      <c r="K19" s="1"/>
      <c r="L19" s="1"/>
    </row>
    <row r="20" spans="1:12" ht="15.6" x14ac:dyDescent="0.3">
      <c r="A20" s="25">
        <v>19</v>
      </c>
      <c r="B20" s="11"/>
      <c r="C20" s="5"/>
      <c r="D20" s="5"/>
      <c r="E20" s="5"/>
      <c r="F20" s="5"/>
      <c r="G20" s="5"/>
      <c r="H20" s="41"/>
      <c r="I20" s="56">
        <f t="shared" si="0"/>
        <v>0</v>
      </c>
      <c r="J20" s="1"/>
      <c r="K20" s="1"/>
      <c r="L20" s="1"/>
    </row>
    <row r="21" spans="1:12" ht="15.6" x14ac:dyDescent="0.3">
      <c r="A21" s="25">
        <v>20</v>
      </c>
      <c r="B21" s="11"/>
      <c r="C21" s="5"/>
      <c r="D21" s="5"/>
      <c r="E21" s="5"/>
      <c r="F21" s="5"/>
      <c r="G21" s="5"/>
      <c r="H21" s="41"/>
      <c r="I21" s="56">
        <f t="shared" si="0"/>
        <v>0</v>
      </c>
      <c r="J21" s="1"/>
      <c r="K21" s="1"/>
      <c r="L21" s="1"/>
    </row>
    <row r="22" spans="1:12" ht="15.6" x14ac:dyDescent="0.3">
      <c r="A22" s="25">
        <v>21</v>
      </c>
      <c r="B22" s="11"/>
      <c r="C22" s="5"/>
      <c r="D22" s="5"/>
      <c r="E22" s="5"/>
      <c r="F22" s="5"/>
      <c r="G22" s="5"/>
      <c r="H22" s="41"/>
      <c r="I22" s="56">
        <f t="shared" si="0"/>
        <v>0</v>
      </c>
      <c r="J22" s="1"/>
      <c r="K22" s="1"/>
      <c r="L22" s="1"/>
    </row>
    <row r="23" spans="1:12" ht="15.6" x14ac:dyDescent="0.3">
      <c r="A23" s="25">
        <v>22</v>
      </c>
      <c r="B23" s="11"/>
      <c r="C23" s="5"/>
      <c r="D23" s="5"/>
      <c r="E23" s="5"/>
      <c r="F23" s="5"/>
      <c r="G23" s="5"/>
      <c r="H23" s="41"/>
      <c r="I23" s="56">
        <f t="shared" si="0"/>
        <v>0</v>
      </c>
      <c r="J23" s="1"/>
      <c r="K23" s="1"/>
      <c r="L23" s="1"/>
    </row>
    <row r="24" spans="1:12" ht="15.6" x14ac:dyDescent="0.3">
      <c r="A24" s="25">
        <v>23</v>
      </c>
      <c r="B24" s="11"/>
      <c r="C24" s="5"/>
      <c r="D24" s="5"/>
      <c r="E24" s="5"/>
      <c r="F24" s="5"/>
      <c r="G24" s="5"/>
      <c r="H24" s="41"/>
      <c r="I24" s="56">
        <f t="shared" si="0"/>
        <v>0</v>
      </c>
      <c r="J24" s="1"/>
      <c r="K24" s="1"/>
      <c r="L24" s="1"/>
    </row>
    <row r="25" spans="1:12" ht="15.6" x14ac:dyDescent="0.3">
      <c r="A25" s="25">
        <v>24</v>
      </c>
      <c r="B25" s="11"/>
      <c r="C25" s="5"/>
      <c r="D25" s="5"/>
      <c r="E25" s="5"/>
      <c r="F25" s="5"/>
      <c r="G25" s="5"/>
      <c r="H25" s="41"/>
      <c r="I25" s="56">
        <f t="shared" si="0"/>
        <v>0</v>
      </c>
      <c r="J25" s="1"/>
      <c r="K25" s="1"/>
      <c r="L25" s="1"/>
    </row>
    <row r="26" spans="1:12" ht="15.6" x14ac:dyDescent="0.3">
      <c r="A26" s="25">
        <v>25</v>
      </c>
      <c r="B26" s="11"/>
      <c r="C26" s="5"/>
      <c r="D26" s="5"/>
      <c r="E26" s="5"/>
      <c r="F26" s="5"/>
      <c r="G26" s="5"/>
      <c r="H26" s="41"/>
      <c r="I26" s="56">
        <f t="shared" si="0"/>
        <v>0</v>
      </c>
      <c r="J26" s="1"/>
      <c r="K26" s="1"/>
      <c r="L26" s="1"/>
    </row>
    <row r="27" spans="1:12" ht="15.6" x14ac:dyDescent="0.3">
      <c r="A27" s="25">
        <v>26</v>
      </c>
      <c r="B27" s="11"/>
      <c r="C27" s="5"/>
      <c r="D27" s="5"/>
      <c r="E27" s="5"/>
      <c r="F27" s="5"/>
      <c r="G27" s="5"/>
      <c r="H27" s="41"/>
      <c r="I27" s="56">
        <f t="shared" si="0"/>
        <v>0</v>
      </c>
      <c r="J27" s="1"/>
      <c r="K27" s="1"/>
      <c r="L27" s="1"/>
    </row>
    <row r="28" spans="1:12" ht="15.6" x14ac:dyDescent="0.3">
      <c r="A28" s="25">
        <v>27</v>
      </c>
      <c r="B28" s="11"/>
      <c r="C28" s="5"/>
      <c r="D28" s="5"/>
      <c r="E28" s="5"/>
      <c r="F28" s="5"/>
      <c r="G28" s="5"/>
      <c r="H28" s="41"/>
      <c r="I28" s="56">
        <f t="shared" si="0"/>
        <v>0</v>
      </c>
      <c r="J28" s="1"/>
      <c r="K28" s="1"/>
      <c r="L28" s="1"/>
    </row>
    <row r="29" spans="1:12" ht="15.6" x14ac:dyDescent="0.3">
      <c r="A29" s="25">
        <v>28</v>
      </c>
      <c r="B29" s="11"/>
      <c r="C29" s="5"/>
      <c r="D29" s="5"/>
      <c r="E29" s="5"/>
      <c r="F29" s="5"/>
      <c r="G29" s="5"/>
      <c r="H29" s="41"/>
      <c r="I29" s="56">
        <f t="shared" si="0"/>
        <v>0</v>
      </c>
      <c r="J29" s="1"/>
      <c r="K29" s="1"/>
      <c r="L29" s="1"/>
    </row>
    <row r="30" spans="1:12" ht="15.6" x14ac:dyDescent="0.3">
      <c r="A30" s="25">
        <v>29</v>
      </c>
      <c r="B30" s="11"/>
      <c r="C30" s="5"/>
      <c r="D30" s="5"/>
      <c r="E30" s="5"/>
      <c r="F30" s="5"/>
      <c r="G30" s="5"/>
      <c r="H30" s="41"/>
      <c r="I30" s="56">
        <f t="shared" si="0"/>
        <v>0</v>
      </c>
      <c r="J30" s="1"/>
      <c r="K30" s="1"/>
      <c r="L30" s="1"/>
    </row>
    <row r="31" spans="1:12" ht="15.6" x14ac:dyDescent="0.3">
      <c r="A31" s="25">
        <v>30</v>
      </c>
      <c r="B31" s="11"/>
      <c r="C31" s="5"/>
      <c r="D31" s="5"/>
      <c r="E31" s="5"/>
      <c r="F31" s="5"/>
      <c r="G31" s="5"/>
      <c r="H31" s="41"/>
      <c r="I31" s="56">
        <f t="shared" si="0"/>
        <v>0</v>
      </c>
      <c r="J31" s="1"/>
      <c r="K31" s="1"/>
      <c r="L31" s="1"/>
    </row>
    <row r="32" spans="1:12" ht="16.2" thickBot="1" x14ac:dyDescent="0.35">
      <c r="A32" s="27">
        <v>31</v>
      </c>
      <c r="B32" s="12"/>
      <c r="C32" s="13"/>
      <c r="D32" s="13"/>
      <c r="E32" s="13"/>
      <c r="F32" s="13"/>
      <c r="G32" s="13"/>
      <c r="H32" s="42"/>
      <c r="I32" s="56">
        <f t="shared" si="0"/>
        <v>0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0</v>
      </c>
      <c r="C33" s="49">
        <f>SUM(C2:C32)</f>
        <v>0</v>
      </c>
      <c r="D33" s="43">
        <f t="shared" ref="D33:H33" si="1">SUM(D2:D32)</f>
        <v>0</v>
      </c>
      <c r="E33" s="49">
        <f t="shared" si="1"/>
        <v>0</v>
      </c>
      <c r="F33" s="49">
        <f t="shared" si="1"/>
        <v>0</v>
      </c>
      <c r="G33" s="43">
        <f t="shared" si="1"/>
        <v>0</v>
      </c>
      <c r="H33" s="49">
        <f t="shared" si="1"/>
        <v>0</v>
      </c>
      <c r="I33" s="55">
        <f>SUM(I2:I32)</f>
        <v>0</v>
      </c>
    </row>
  </sheetData>
  <conditionalFormatting sqref="L16">
    <cfRule type="cellIs" dxfId="28" priority="1" operator="lessThan">
      <formula>0</formula>
    </cfRule>
    <cfRule type="cellIs" dxfId="27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6"/>
  <sheetViews>
    <sheetView workbookViewId="0">
      <selection activeCell="M12" sqref="M12"/>
    </sheetView>
  </sheetViews>
  <sheetFormatPr defaultRowHeight="14.4" x14ac:dyDescent="0.3"/>
  <cols>
    <col min="2" max="3" width="14.88671875" bestFit="1" customWidth="1"/>
    <col min="4" max="4" width="9.5546875" bestFit="1" customWidth="1"/>
    <col min="5" max="5" width="15.109375" bestFit="1" customWidth="1"/>
    <col min="6" max="6" width="10.109375" bestFit="1" customWidth="1"/>
    <col min="7" max="8" width="8.6640625" bestFit="1" customWidth="1"/>
    <col min="11" max="11" width="7.6640625" customWidth="1"/>
    <col min="12" max="12" width="5.33203125" customWidth="1"/>
    <col min="13" max="13" width="16.88671875" bestFit="1" customWidth="1"/>
  </cols>
  <sheetData>
    <row r="2" spans="2:14" ht="15" thickBot="1" x14ac:dyDescent="0.35"/>
    <row r="3" spans="2:14" ht="16.2" thickBot="1" x14ac:dyDescent="0.35">
      <c r="C3" s="68" t="s">
        <v>1</v>
      </c>
      <c r="D3" s="68" t="s">
        <v>2</v>
      </c>
      <c r="E3" s="68" t="s">
        <v>3</v>
      </c>
      <c r="F3" s="68" t="s">
        <v>14</v>
      </c>
      <c r="G3" s="68" t="s">
        <v>4</v>
      </c>
      <c r="H3" s="68" t="s">
        <v>6</v>
      </c>
      <c r="I3" s="68" t="s">
        <v>36</v>
      </c>
      <c r="J3" s="84" t="s">
        <v>5</v>
      </c>
      <c r="K3" s="88" t="s">
        <v>63</v>
      </c>
      <c r="M3" s="16" t="s">
        <v>8</v>
      </c>
      <c r="N3" s="29">
        <f>Janeiro!L13+Fevereiro!L13+Março!L13+Abril!L13+Maio!L13+Junho!L13+Julho!L13+Agosto!L13+Setembro!L13+Outubro!L13+Novembro!L13+Dezembro!L13</f>
        <v>12675.69</v>
      </c>
    </row>
    <row r="4" spans="2:14" ht="16.2" thickBot="1" x14ac:dyDescent="0.35">
      <c r="B4" s="67" t="s">
        <v>24</v>
      </c>
      <c r="C4" s="61">
        <f>Janeiro!B33</f>
        <v>83.56</v>
      </c>
      <c r="D4" s="62">
        <f>Janeiro!C33</f>
        <v>22.99</v>
      </c>
      <c r="E4" s="62">
        <f>Janeiro!D33</f>
        <v>30</v>
      </c>
      <c r="F4" s="62">
        <f>Janeiro!E33</f>
        <v>30</v>
      </c>
      <c r="G4" s="62">
        <f>Janeiro!F33</f>
        <v>20</v>
      </c>
      <c r="H4" s="63">
        <f>Janeiro!G33</f>
        <v>0</v>
      </c>
      <c r="I4" s="71">
        <f>Janeiro!L1</f>
        <v>90</v>
      </c>
      <c r="J4" s="85">
        <f>SUM(C4:I4)</f>
        <v>276.55</v>
      </c>
      <c r="K4" s="73">
        <f>Janeiro!$L$16</f>
        <v>130.82999999999998</v>
      </c>
      <c r="M4" s="22" t="s">
        <v>9</v>
      </c>
      <c r="N4" s="28">
        <f>J16</f>
        <v>9195.49</v>
      </c>
    </row>
    <row r="5" spans="2:14" ht="16.2" thickBot="1" x14ac:dyDescent="0.35">
      <c r="B5" s="69" t="s">
        <v>25</v>
      </c>
      <c r="C5" s="64">
        <f>Fevereiro!B33</f>
        <v>118.18000000000004</v>
      </c>
      <c r="D5" s="60">
        <f>Fevereiro!C33</f>
        <v>0</v>
      </c>
      <c r="E5" s="60">
        <f>Fevereiro!D33</f>
        <v>60</v>
      </c>
      <c r="F5" s="60">
        <f>Fevereiro!E33</f>
        <v>62.78</v>
      </c>
      <c r="G5" s="60">
        <f>Fevereiro!F33</f>
        <v>11.95</v>
      </c>
      <c r="H5" s="60">
        <f>Fevereiro!G33</f>
        <v>95.08</v>
      </c>
      <c r="I5" s="72">
        <f>Fevereiro!L1</f>
        <v>250</v>
      </c>
      <c r="J5" s="86">
        <f t="shared" ref="J5:J16" si="0">SUM(C5:I5)</f>
        <v>597.99</v>
      </c>
      <c r="K5" s="73">
        <f>Fevereiro!$L$16</f>
        <v>318.01</v>
      </c>
      <c r="M5" s="32" t="s">
        <v>10</v>
      </c>
      <c r="N5" s="31">
        <f>N3-N4</f>
        <v>3480.2000000000007</v>
      </c>
    </row>
    <row r="6" spans="2:14" ht="15.6" x14ac:dyDescent="0.3">
      <c r="B6" s="69" t="s">
        <v>26</v>
      </c>
      <c r="C6" s="64">
        <f>Março!B33</f>
        <v>117.77</v>
      </c>
      <c r="D6" s="59">
        <f>Março!C33</f>
        <v>9.7899999999999991</v>
      </c>
      <c r="E6" s="59">
        <f>Março!D33</f>
        <v>80</v>
      </c>
      <c r="F6" s="59">
        <f>Março!E33</f>
        <v>58.01</v>
      </c>
      <c r="G6" s="59">
        <f>Março!F33</f>
        <v>48.55</v>
      </c>
      <c r="H6" s="60">
        <f>Março!G33</f>
        <v>102.06</v>
      </c>
      <c r="I6" s="72">
        <f>Março!L1</f>
        <v>250</v>
      </c>
      <c r="J6" s="86">
        <f t="shared" si="0"/>
        <v>666.18000000000006</v>
      </c>
      <c r="K6" s="73">
        <f>Março!$L$16</f>
        <v>249.81999999999994</v>
      </c>
    </row>
    <row r="7" spans="2:14" ht="15.6" x14ac:dyDescent="0.3">
      <c r="B7" s="69" t="s">
        <v>27</v>
      </c>
      <c r="C7" s="64">
        <f>Abril!B33</f>
        <v>85.19</v>
      </c>
      <c r="D7" s="59">
        <f>Abril!C33</f>
        <v>0</v>
      </c>
      <c r="E7" s="59">
        <f>Abril!D33</f>
        <v>100</v>
      </c>
      <c r="F7" s="59">
        <f>Abril!E33</f>
        <v>58.3</v>
      </c>
      <c r="G7" s="60">
        <f>Abril!F33</f>
        <v>148.44999999999999</v>
      </c>
      <c r="H7" s="60">
        <f>Abril!G33</f>
        <v>149.46</v>
      </c>
      <c r="I7" s="64">
        <f>Abril!L1</f>
        <v>250</v>
      </c>
      <c r="J7" s="86">
        <f t="shared" si="0"/>
        <v>791.4</v>
      </c>
      <c r="K7" s="73">
        <f>Abril!$L$16</f>
        <v>268.60000000000002</v>
      </c>
    </row>
    <row r="8" spans="2:14" ht="15.6" x14ac:dyDescent="0.3">
      <c r="B8" s="69" t="s">
        <v>28</v>
      </c>
      <c r="C8" s="64">
        <f>Maio!B33</f>
        <v>51.860000000000021</v>
      </c>
      <c r="D8" s="59">
        <f>Maio!C33</f>
        <v>9.31</v>
      </c>
      <c r="E8" s="59">
        <f>Maio!D33</f>
        <v>70</v>
      </c>
      <c r="F8" s="59">
        <f>Maio!E33</f>
        <v>67.38</v>
      </c>
      <c r="G8" s="59">
        <f>Maio!F33</f>
        <v>128.64999999999998</v>
      </c>
      <c r="H8" s="60">
        <f>Maio!G33</f>
        <v>68.990000000000009</v>
      </c>
      <c r="I8" s="72">
        <f>Maio!L1</f>
        <v>250</v>
      </c>
      <c r="J8" s="86">
        <f t="shared" si="0"/>
        <v>646.19000000000005</v>
      </c>
      <c r="K8" s="73">
        <f>Maio!$L$16</f>
        <v>300.20999999999992</v>
      </c>
    </row>
    <row r="9" spans="2:14" ht="15.6" x14ac:dyDescent="0.3">
      <c r="B9" s="69" t="s">
        <v>29</v>
      </c>
      <c r="C9" s="64">
        <f>Junho!B33</f>
        <v>65.449999999999989</v>
      </c>
      <c r="D9" s="59">
        <f>Junho!C33</f>
        <v>0.59</v>
      </c>
      <c r="E9" s="59">
        <f>Junho!D33</f>
        <v>50</v>
      </c>
      <c r="F9" s="59">
        <f>Junho!E33</f>
        <v>48.3</v>
      </c>
      <c r="G9" s="60">
        <f>Junho!F33</f>
        <v>159.51</v>
      </c>
      <c r="H9" s="60">
        <f>Junho!G33</f>
        <v>218.95</v>
      </c>
      <c r="I9" s="64">
        <f>Junho!L1</f>
        <v>250</v>
      </c>
      <c r="J9" s="86">
        <f t="shared" si="0"/>
        <v>792.8</v>
      </c>
      <c r="K9" s="73">
        <f>Junho!$L$16</f>
        <v>123.70000000000005</v>
      </c>
    </row>
    <row r="10" spans="2:14" ht="15.6" x14ac:dyDescent="0.3">
      <c r="B10" s="69" t="s">
        <v>30</v>
      </c>
      <c r="C10" s="64">
        <f>Julho!B33</f>
        <v>70.239999999999981</v>
      </c>
      <c r="D10" s="59">
        <f>Julho!C33</f>
        <v>11.299999999999999</v>
      </c>
      <c r="E10" s="59">
        <f>Julho!D33</f>
        <v>66</v>
      </c>
      <c r="F10" s="59">
        <f>Julho!E33</f>
        <v>48.2</v>
      </c>
      <c r="G10" s="59">
        <f>Julho!F33</f>
        <v>154.39999999999998</v>
      </c>
      <c r="H10" s="60">
        <f>Julho!G33</f>
        <v>161.19</v>
      </c>
      <c r="I10" s="64">
        <f>Julho!L1+Julho!L2</f>
        <v>273.5</v>
      </c>
      <c r="J10" s="86">
        <f t="shared" si="0"/>
        <v>784.82999999999993</v>
      </c>
      <c r="K10" s="73">
        <f>Julho!$L$16</f>
        <v>1057.3200000000002</v>
      </c>
    </row>
    <row r="11" spans="2:14" ht="15.6" x14ac:dyDescent="0.3">
      <c r="B11" s="69" t="s">
        <v>31</v>
      </c>
      <c r="C11" s="95">
        <f>Agosto!B33</f>
        <v>146.51999999999998</v>
      </c>
      <c r="D11" s="59">
        <f>Agosto!C33</f>
        <v>0</v>
      </c>
      <c r="E11" s="59">
        <f>Agosto!D33</f>
        <v>75</v>
      </c>
      <c r="F11" s="59">
        <f>Agosto!E33</f>
        <v>32</v>
      </c>
      <c r="G11" s="59">
        <f>Agosto!F33</f>
        <v>217.8</v>
      </c>
      <c r="H11" s="60">
        <f>Agosto!G33</f>
        <v>577.5</v>
      </c>
      <c r="I11" s="64">
        <f>Agosto!L1+Agosto!L2</f>
        <v>267.5</v>
      </c>
      <c r="J11" s="86">
        <f t="shared" si="0"/>
        <v>1316.32</v>
      </c>
      <c r="K11" s="73">
        <f>Agosto!$L$16</f>
        <v>-399.81999999999994</v>
      </c>
    </row>
    <row r="12" spans="2:14" ht="15.6" x14ac:dyDescent="0.3">
      <c r="B12" s="69" t="s">
        <v>32</v>
      </c>
      <c r="C12" s="95">
        <f>Setembro!B33</f>
        <v>135.38999999999999</v>
      </c>
      <c r="D12" s="59">
        <f>Setembro!C33</f>
        <v>14.16</v>
      </c>
      <c r="E12" s="59">
        <f>Setembro!D33</f>
        <v>15</v>
      </c>
      <c r="F12" s="59">
        <f>Setembro!E33</f>
        <v>27.5</v>
      </c>
      <c r="G12" s="59">
        <f>Setembro!F33</f>
        <v>109.5</v>
      </c>
      <c r="H12" s="60">
        <f>Setembro!G33</f>
        <v>90</v>
      </c>
      <c r="I12" s="64">
        <f>Setembro!L1+Setembro!L2</f>
        <v>257</v>
      </c>
      <c r="J12" s="86">
        <f t="shared" si="0"/>
        <v>648.54999999999995</v>
      </c>
      <c r="K12" s="73">
        <f>Setembro!$L$16</f>
        <v>278.71000000000004</v>
      </c>
    </row>
    <row r="13" spans="2:14" ht="15.6" x14ac:dyDescent="0.3">
      <c r="B13" s="69" t="s">
        <v>33</v>
      </c>
      <c r="C13" s="64">
        <f>Outubro!B33</f>
        <v>117.91000000000005</v>
      </c>
      <c r="D13" s="59">
        <f>Outubro!C33</f>
        <v>8.9</v>
      </c>
      <c r="E13" s="59">
        <f>Outubro!D33</f>
        <v>90</v>
      </c>
      <c r="F13" s="59">
        <f>Outubro!E33</f>
        <v>26.6</v>
      </c>
      <c r="G13" s="60">
        <f>Outubro!F33</f>
        <v>122.6</v>
      </c>
      <c r="H13" s="99">
        <f>Outubro!G33</f>
        <v>210.19</v>
      </c>
      <c r="I13" s="95">
        <f>Outubro!L1+Outubro!L2++Outubro!L3</f>
        <v>275</v>
      </c>
      <c r="J13" s="86">
        <f t="shared" si="0"/>
        <v>851.2</v>
      </c>
      <c r="K13" s="73">
        <f>Outubro!$L$16</f>
        <v>64.799999999999955</v>
      </c>
    </row>
    <row r="14" spans="2:14" ht="15.6" x14ac:dyDescent="0.3">
      <c r="B14" s="69" t="s">
        <v>34</v>
      </c>
      <c r="C14" s="64">
        <f>Novembro!B33</f>
        <v>106.35999999999999</v>
      </c>
      <c r="D14" s="59">
        <f>Novembro!C33</f>
        <v>0</v>
      </c>
      <c r="E14" s="59">
        <f>Novembro!D33</f>
        <v>60</v>
      </c>
      <c r="F14" s="59">
        <f>Novembro!E33</f>
        <v>20</v>
      </c>
      <c r="G14" s="60">
        <f>Novembro!F33</f>
        <v>90.9</v>
      </c>
      <c r="H14" s="60">
        <f>Novembro!G33</f>
        <v>333.74</v>
      </c>
      <c r="I14" s="64">
        <f>Novembro!L1+Novembro!L2+Novembro!L3</f>
        <v>266</v>
      </c>
      <c r="J14" s="86">
        <f t="shared" si="0"/>
        <v>877</v>
      </c>
      <c r="K14" s="73">
        <f>Novembro!$L$16</f>
        <v>918</v>
      </c>
    </row>
    <row r="15" spans="2:14" ht="16.2" thickBot="1" x14ac:dyDescent="0.35">
      <c r="B15" s="70" t="s">
        <v>35</v>
      </c>
      <c r="C15" s="65">
        <f>Dezembro!B33</f>
        <v>100.93</v>
      </c>
      <c r="D15" s="66">
        <f>Dezembro!C33</f>
        <v>0</v>
      </c>
      <c r="E15" s="66">
        <f>Dezembro!D33</f>
        <v>20</v>
      </c>
      <c r="F15" s="66">
        <f>Dezembro!E33</f>
        <v>79.5</v>
      </c>
      <c r="G15" s="66">
        <f>Dezembro!F33</f>
        <v>146.69999999999999</v>
      </c>
      <c r="H15" s="100">
        <f>Dezembro!G33</f>
        <v>318.75</v>
      </c>
      <c r="I15" s="65">
        <f>Dezembro!L1+Dezembro!L2+Dezembro!L3</f>
        <v>280.60000000000002</v>
      </c>
      <c r="J15" s="86">
        <f t="shared" si="0"/>
        <v>946.48</v>
      </c>
      <c r="K15" s="73">
        <f>Dezembro!$L$16</f>
        <v>170.01999999999998</v>
      </c>
    </row>
    <row r="16" spans="2:14" ht="16.2" thickBot="1" x14ac:dyDescent="0.35">
      <c r="B16" s="30" t="s">
        <v>15</v>
      </c>
      <c r="C16" s="74">
        <f t="shared" ref="C16" si="1">SUM(C4:C15)</f>
        <v>1199.3600000000001</v>
      </c>
      <c r="D16" s="58">
        <f t="shared" ref="D16" si="2">SUM(D4:D15)</f>
        <v>77.040000000000006</v>
      </c>
      <c r="E16" s="58">
        <f t="shared" ref="E16" si="3">SUM(E4:E15)</f>
        <v>716</v>
      </c>
      <c r="F16" s="58">
        <f t="shared" ref="F16" si="4">SUM(F4:F15)</f>
        <v>558.56999999999994</v>
      </c>
      <c r="G16" s="58">
        <f t="shared" ref="G16" si="5">SUM(G4:G15)</f>
        <v>1359.01</v>
      </c>
      <c r="H16" s="58">
        <f t="shared" ref="H16" si="6">SUM(H4:H15)</f>
        <v>2325.91</v>
      </c>
      <c r="I16" s="58">
        <f t="shared" ref="I16" si="7">SUM(I4:I15)</f>
        <v>2959.6</v>
      </c>
      <c r="J16" s="87">
        <f t="shared" si="0"/>
        <v>9195.49</v>
      </c>
      <c r="K16" s="75">
        <f>SUM(K4:K15)</f>
        <v>3480.2000000000003</v>
      </c>
    </row>
  </sheetData>
  <conditionalFormatting sqref="N5">
    <cfRule type="cellIs" dxfId="26" priority="1" operator="lessThan">
      <formula>0</formula>
    </cfRule>
    <cfRule type="cellIs" dxfId="25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11" sqref="W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4" workbookViewId="0">
      <selection activeCell="L16" sqref="L16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14</v>
      </c>
      <c r="F1" s="8" t="s">
        <v>4</v>
      </c>
      <c r="G1" s="8" t="s">
        <v>6</v>
      </c>
      <c r="H1" s="9" t="s">
        <v>7</v>
      </c>
      <c r="I1" s="1"/>
      <c r="J1" s="1"/>
      <c r="K1" s="16" t="s">
        <v>11</v>
      </c>
      <c r="L1" s="23">
        <v>90</v>
      </c>
    </row>
    <row r="2" spans="1:12" ht="16.2" thickBot="1" x14ac:dyDescent="0.35">
      <c r="A2" s="26">
        <v>1</v>
      </c>
      <c r="B2" s="10"/>
      <c r="C2" s="6"/>
      <c r="D2" s="6"/>
      <c r="E2" s="6"/>
      <c r="F2" s="6"/>
      <c r="G2" s="6"/>
      <c r="H2" s="6"/>
      <c r="I2" s="1"/>
      <c r="J2" s="1"/>
      <c r="K2" s="17" t="s">
        <v>12</v>
      </c>
      <c r="L2" s="24"/>
    </row>
    <row r="3" spans="1:12" ht="15.6" x14ac:dyDescent="0.3">
      <c r="A3" s="25">
        <v>2</v>
      </c>
      <c r="B3" s="11"/>
      <c r="C3" s="5"/>
      <c r="D3" s="5"/>
      <c r="E3" s="5"/>
      <c r="F3" s="5"/>
      <c r="G3" s="5"/>
      <c r="H3" s="5"/>
      <c r="I3" s="1"/>
      <c r="J3" s="1"/>
      <c r="K3" s="2"/>
      <c r="L3" s="1"/>
    </row>
    <row r="4" spans="1:12" ht="15.6" x14ac:dyDescent="0.3">
      <c r="A4" s="25">
        <v>3</v>
      </c>
      <c r="B4" s="11"/>
      <c r="C4" s="5"/>
      <c r="D4" s="5"/>
      <c r="E4" s="5"/>
      <c r="F4" s="5"/>
      <c r="G4" s="5"/>
      <c r="H4" s="5"/>
      <c r="I4" s="1"/>
      <c r="J4" s="1"/>
      <c r="K4" s="3"/>
      <c r="L4" s="1"/>
    </row>
    <row r="5" spans="1:12" ht="15.6" x14ac:dyDescent="0.3">
      <c r="A5" s="25">
        <v>4</v>
      </c>
      <c r="B5" s="11"/>
      <c r="C5" s="5"/>
      <c r="D5" s="5"/>
      <c r="E5" s="5"/>
      <c r="F5" s="5"/>
      <c r="G5" s="5"/>
      <c r="H5" s="5"/>
      <c r="I5" s="1"/>
      <c r="J5" s="1"/>
      <c r="K5" s="3"/>
      <c r="L5" s="1"/>
    </row>
    <row r="6" spans="1:12" ht="15.6" x14ac:dyDescent="0.3">
      <c r="A6" s="25">
        <v>5</v>
      </c>
      <c r="B6" s="11"/>
      <c r="C6" s="5"/>
      <c r="D6" s="5"/>
      <c r="E6" s="5"/>
      <c r="F6" s="5"/>
      <c r="G6" s="5"/>
      <c r="H6" s="5"/>
      <c r="I6" s="1"/>
      <c r="J6" s="1"/>
      <c r="K6" s="3"/>
      <c r="L6" s="1"/>
    </row>
    <row r="7" spans="1:12" ht="15.6" x14ac:dyDescent="0.3">
      <c r="A7" s="25">
        <v>6</v>
      </c>
      <c r="B7" s="11"/>
      <c r="C7" s="5"/>
      <c r="D7" s="5"/>
      <c r="E7" s="5"/>
      <c r="F7" s="5"/>
      <c r="G7" s="5"/>
      <c r="H7" s="5"/>
      <c r="I7" s="1"/>
      <c r="J7" s="1"/>
      <c r="K7" s="3"/>
      <c r="L7" s="1"/>
    </row>
    <row r="8" spans="1:12" ht="15.6" x14ac:dyDescent="0.3">
      <c r="A8" s="25">
        <v>7</v>
      </c>
      <c r="B8" s="11"/>
      <c r="C8" s="5"/>
      <c r="D8" s="5"/>
      <c r="E8" s="5"/>
      <c r="F8" s="5"/>
      <c r="G8" s="5"/>
      <c r="H8" s="5"/>
      <c r="I8" s="1"/>
      <c r="J8" s="1"/>
      <c r="K8" s="3"/>
      <c r="L8" s="1"/>
    </row>
    <row r="9" spans="1:12" ht="15.6" x14ac:dyDescent="0.3">
      <c r="A9" s="25">
        <v>8</v>
      </c>
      <c r="B9" s="11"/>
      <c r="C9" s="5"/>
      <c r="D9" s="5"/>
      <c r="E9" s="5"/>
      <c r="F9" s="5"/>
      <c r="G9" s="5"/>
      <c r="H9" s="5"/>
      <c r="I9" s="1"/>
      <c r="J9" s="1"/>
      <c r="K9" s="3"/>
      <c r="L9" s="1"/>
    </row>
    <row r="10" spans="1:12" ht="15.6" x14ac:dyDescent="0.3">
      <c r="A10" s="25">
        <v>9</v>
      </c>
      <c r="B10" s="11"/>
      <c r="C10" s="5"/>
      <c r="D10" s="5"/>
      <c r="E10" s="5"/>
      <c r="F10" s="5"/>
      <c r="G10" s="5"/>
      <c r="H10" s="5"/>
      <c r="I10" s="1"/>
      <c r="J10" s="1"/>
      <c r="K10" s="3"/>
      <c r="L10" s="1"/>
    </row>
    <row r="11" spans="1:12" ht="15.6" x14ac:dyDescent="0.3">
      <c r="A11" s="25">
        <v>10</v>
      </c>
      <c r="B11" s="11"/>
      <c r="C11" s="5"/>
      <c r="D11" s="5"/>
      <c r="E11" s="5"/>
      <c r="F11" s="5"/>
      <c r="G11" s="5"/>
      <c r="H11" s="5"/>
      <c r="I11" s="1"/>
      <c r="J11" s="1"/>
      <c r="K11" s="3"/>
      <c r="L11" s="1"/>
    </row>
    <row r="12" spans="1:12" ht="16.2" thickBot="1" x14ac:dyDescent="0.35">
      <c r="A12" s="25">
        <v>11</v>
      </c>
      <c r="B12" s="11"/>
      <c r="C12" s="5"/>
      <c r="D12" s="5"/>
      <c r="E12" s="5"/>
      <c r="F12" s="5"/>
      <c r="G12" s="5"/>
      <c r="H12" s="5"/>
      <c r="I12" s="1"/>
      <c r="J12" s="1"/>
      <c r="K12" s="3"/>
      <c r="L12" s="1"/>
    </row>
    <row r="13" spans="1:12" ht="15.6" x14ac:dyDescent="0.3">
      <c r="A13" s="25">
        <v>12</v>
      </c>
      <c r="B13" s="11"/>
      <c r="C13" s="5"/>
      <c r="D13" s="5"/>
      <c r="E13" s="5"/>
      <c r="F13" s="5"/>
      <c r="G13" s="5"/>
      <c r="H13" s="5"/>
      <c r="I13" s="1"/>
      <c r="J13" s="1"/>
      <c r="K13" s="16" t="s">
        <v>8</v>
      </c>
      <c r="L13" s="29">
        <v>407.38</v>
      </c>
    </row>
    <row r="14" spans="1:12" ht="15.6" x14ac:dyDescent="0.3">
      <c r="A14" s="25">
        <v>13</v>
      </c>
      <c r="B14" s="11"/>
      <c r="C14" s="5"/>
      <c r="D14" s="5"/>
      <c r="E14" s="5"/>
      <c r="F14" s="5"/>
      <c r="G14" s="5"/>
      <c r="H14" s="5"/>
      <c r="I14" s="1"/>
      <c r="J14" s="1"/>
      <c r="K14" s="22" t="s">
        <v>9</v>
      </c>
      <c r="L14" s="28">
        <f>SUM(B33:H33)+L1+L2</f>
        <v>276.55</v>
      </c>
    </row>
    <row r="15" spans="1:12" ht="15.6" x14ac:dyDescent="0.3">
      <c r="A15" s="25">
        <v>14</v>
      </c>
      <c r="B15" s="11"/>
      <c r="C15" s="5"/>
      <c r="D15" s="5"/>
      <c r="E15" s="5"/>
      <c r="F15" s="5"/>
      <c r="G15" s="5"/>
      <c r="H15" s="5"/>
      <c r="I15" s="1"/>
      <c r="J15" s="1"/>
      <c r="K15" s="20"/>
      <c r="L15" s="19"/>
    </row>
    <row r="16" spans="1:12" ht="16.2" thickBot="1" x14ac:dyDescent="0.35">
      <c r="A16" s="25">
        <v>15</v>
      </c>
      <c r="B16" s="11"/>
      <c r="C16" s="5"/>
      <c r="D16" s="5"/>
      <c r="E16" s="5"/>
      <c r="F16" s="5"/>
      <c r="G16" s="5"/>
      <c r="H16" s="5"/>
      <c r="I16" s="1"/>
      <c r="J16" s="1"/>
      <c r="K16" s="21" t="s">
        <v>10</v>
      </c>
      <c r="L16" s="18">
        <f>L13-L14</f>
        <v>130.82999999999998</v>
      </c>
    </row>
    <row r="17" spans="1:12" ht="15.6" x14ac:dyDescent="0.3">
      <c r="A17" s="25">
        <v>16</v>
      </c>
      <c r="B17" s="11"/>
      <c r="C17" s="5"/>
      <c r="D17" s="5"/>
      <c r="E17" s="5"/>
      <c r="F17" s="5"/>
      <c r="G17" s="5"/>
      <c r="H17" s="5"/>
      <c r="I17" s="1"/>
      <c r="J17" s="1"/>
      <c r="K17" s="1"/>
      <c r="L17" s="1"/>
    </row>
    <row r="18" spans="1:12" ht="15.6" x14ac:dyDescent="0.3">
      <c r="A18" s="25">
        <v>17</v>
      </c>
      <c r="B18" s="11"/>
      <c r="C18" s="5"/>
      <c r="D18" s="5"/>
      <c r="E18" s="5"/>
      <c r="F18" s="5"/>
      <c r="G18" s="5"/>
      <c r="H18" s="5"/>
      <c r="I18" s="1"/>
      <c r="J18" s="1"/>
      <c r="K18" s="1"/>
      <c r="L18" s="1"/>
    </row>
    <row r="19" spans="1:12" ht="15.6" x14ac:dyDescent="0.3">
      <c r="A19" s="25">
        <v>18</v>
      </c>
      <c r="B19" s="11"/>
      <c r="C19" s="5"/>
      <c r="D19" s="5"/>
      <c r="E19" s="5"/>
      <c r="F19" s="5"/>
      <c r="G19" s="5"/>
      <c r="H19" s="5"/>
      <c r="I19" s="1"/>
      <c r="J19" s="1"/>
      <c r="K19" s="1"/>
      <c r="L19" s="1"/>
    </row>
    <row r="20" spans="1:12" ht="15.6" x14ac:dyDescent="0.3">
      <c r="A20" s="4">
        <v>19</v>
      </c>
      <c r="B20" s="11">
        <f>71.91-C20</f>
        <v>48.92</v>
      </c>
      <c r="C20" s="5">
        <f>3.11+3.39+1.84+3.24+1.79+5.99+1.79+1.84</f>
        <v>22.99</v>
      </c>
      <c r="D20" s="5"/>
      <c r="E20" s="5"/>
      <c r="F20" s="5"/>
      <c r="G20" s="5"/>
      <c r="H20" s="5"/>
      <c r="I20" s="1"/>
      <c r="J20" s="1"/>
      <c r="K20" s="1"/>
      <c r="L20" s="1"/>
    </row>
    <row r="21" spans="1:12" ht="15.6" x14ac:dyDescent="0.3">
      <c r="A21" s="4">
        <v>20</v>
      </c>
      <c r="B21" s="11"/>
      <c r="C21" s="5"/>
      <c r="D21" s="5"/>
      <c r="E21" s="5">
        <v>10</v>
      </c>
      <c r="F21" s="5"/>
      <c r="G21" s="5"/>
      <c r="H21" s="5"/>
      <c r="I21" s="1"/>
      <c r="J21" s="1"/>
      <c r="K21" s="1"/>
      <c r="L21" s="1"/>
    </row>
    <row r="22" spans="1:12" ht="15.6" x14ac:dyDescent="0.3">
      <c r="A22" s="25">
        <v>21</v>
      </c>
      <c r="B22" s="11"/>
      <c r="C22" s="5"/>
      <c r="D22" s="5"/>
      <c r="E22" s="5"/>
      <c r="F22" s="5"/>
      <c r="G22" s="5"/>
      <c r="H22" s="5"/>
      <c r="I22" s="1"/>
      <c r="J22" s="1"/>
      <c r="K22" s="1"/>
      <c r="L22" s="1"/>
    </row>
    <row r="23" spans="1:12" ht="15.6" x14ac:dyDescent="0.3">
      <c r="A23" s="25">
        <v>22</v>
      </c>
      <c r="B23" s="11"/>
      <c r="C23" s="5"/>
      <c r="D23" s="5"/>
      <c r="E23" s="5"/>
      <c r="F23" s="5"/>
      <c r="G23" s="5"/>
      <c r="H23" s="5"/>
      <c r="I23" s="1"/>
      <c r="J23" s="1"/>
      <c r="K23" s="1"/>
      <c r="L23" s="1"/>
    </row>
    <row r="24" spans="1:12" ht="15.6" x14ac:dyDescent="0.3">
      <c r="A24" s="25">
        <v>23</v>
      </c>
      <c r="B24" s="11"/>
      <c r="C24" s="5"/>
      <c r="D24" s="5"/>
      <c r="E24" s="5"/>
      <c r="F24" s="5"/>
      <c r="G24" s="5"/>
      <c r="H24" s="5"/>
      <c r="I24" s="1"/>
      <c r="J24" s="1"/>
      <c r="K24" s="1"/>
      <c r="L24" s="1"/>
    </row>
    <row r="25" spans="1:12" ht="15.6" x14ac:dyDescent="0.3">
      <c r="A25" s="25">
        <v>24</v>
      </c>
      <c r="B25" s="11"/>
      <c r="C25" s="5"/>
      <c r="D25" s="5"/>
      <c r="E25" s="5"/>
      <c r="F25" s="5"/>
      <c r="G25" s="5"/>
      <c r="H25" s="5"/>
      <c r="I25" s="1"/>
      <c r="J25" s="1"/>
      <c r="K25" s="1"/>
      <c r="L25" s="1"/>
    </row>
    <row r="26" spans="1:12" ht="15.6" x14ac:dyDescent="0.3">
      <c r="A26" s="25">
        <v>25</v>
      </c>
      <c r="B26" s="11"/>
      <c r="C26" s="5"/>
      <c r="D26" s="5"/>
      <c r="E26" s="5">
        <v>10</v>
      </c>
      <c r="F26" s="5"/>
      <c r="G26" s="5"/>
      <c r="H26" s="5"/>
      <c r="I26" s="1"/>
      <c r="J26" s="1"/>
      <c r="K26" s="1"/>
      <c r="L26" s="1"/>
    </row>
    <row r="27" spans="1:12" ht="15.6" x14ac:dyDescent="0.3">
      <c r="A27" s="4">
        <v>26</v>
      </c>
      <c r="B27" s="11"/>
      <c r="C27" s="5"/>
      <c r="D27" s="5"/>
      <c r="E27" s="5"/>
      <c r="F27" s="5"/>
      <c r="G27" s="5"/>
      <c r="H27" s="5"/>
      <c r="I27" s="1"/>
      <c r="J27" s="1"/>
      <c r="K27" s="1"/>
      <c r="L27" s="1"/>
    </row>
    <row r="28" spans="1:12" ht="15.6" x14ac:dyDescent="0.3">
      <c r="A28" s="4">
        <v>27</v>
      </c>
      <c r="B28" s="11">
        <v>34.64</v>
      </c>
      <c r="C28" s="5"/>
      <c r="D28" s="5">
        <v>30</v>
      </c>
      <c r="E28" s="5">
        <v>10</v>
      </c>
      <c r="F28" s="5">
        <v>20</v>
      </c>
      <c r="G28" s="5"/>
      <c r="H28" s="5"/>
      <c r="I28" s="1"/>
      <c r="J28" s="1"/>
      <c r="K28" s="1"/>
      <c r="L28" s="1"/>
    </row>
    <row r="29" spans="1:12" ht="15.6" x14ac:dyDescent="0.3">
      <c r="A29" s="25">
        <v>28</v>
      </c>
      <c r="B29" s="11"/>
      <c r="C29" s="5"/>
      <c r="D29" s="5"/>
      <c r="E29" s="5"/>
      <c r="F29" s="5"/>
      <c r="G29" s="5"/>
      <c r="H29" s="5"/>
      <c r="I29" s="1"/>
      <c r="J29" s="1"/>
      <c r="K29" s="1"/>
      <c r="L29" s="1"/>
    </row>
    <row r="30" spans="1:12" ht="15.6" x14ac:dyDescent="0.3">
      <c r="A30" s="25">
        <v>29</v>
      </c>
      <c r="B30" s="11"/>
      <c r="C30" s="5"/>
      <c r="D30" s="5"/>
      <c r="E30" s="5"/>
      <c r="F30" s="5"/>
      <c r="G30" s="5"/>
      <c r="H30" s="5"/>
      <c r="I30" s="1"/>
      <c r="J30" s="1"/>
      <c r="K30" s="1"/>
      <c r="L30" s="1"/>
    </row>
    <row r="31" spans="1:12" ht="15.6" x14ac:dyDescent="0.3">
      <c r="A31" s="25">
        <v>30</v>
      </c>
      <c r="B31" s="11"/>
      <c r="C31" s="5"/>
      <c r="D31" s="5"/>
      <c r="E31" s="5"/>
      <c r="F31" s="5"/>
      <c r="G31" s="5"/>
      <c r="H31" s="5"/>
      <c r="I31" s="1"/>
      <c r="J31" s="1"/>
      <c r="K31" s="1"/>
      <c r="L31" s="1"/>
    </row>
    <row r="32" spans="1:12" ht="16.2" thickBot="1" x14ac:dyDescent="0.35">
      <c r="A32" s="27">
        <v>31</v>
      </c>
      <c r="B32" s="12"/>
      <c r="C32" s="13"/>
      <c r="D32" s="13"/>
      <c r="E32" s="13"/>
      <c r="F32" s="13"/>
      <c r="G32" s="13"/>
      <c r="H32" s="13"/>
      <c r="I32" s="1"/>
      <c r="J32" s="1"/>
      <c r="K32" s="1"/>
      <c r="L32" s="1"/>
    </row>
    <row r="33" spans="1:8" ht="16.2" thickBot="1" x14ac:dyDescent="0.35">
      <c r="A33" s="14" t="s">
        <v>5</v>
      </c>
      <c r="B33" s="15">
        <f>SUM(B2:B32)</f>
        <v>83.56</v>
      </c>
      <c r="C33" s="15">
        <f>SUM(C2:C32)</f>
        <v>22.99</v>
      </c>
      <c r="D33" s="15">
        <f t="shared" ref="D33:H33" si="0">SUM(D2:D32)</f>
        <v>30</v>
      </c>
      <c r="E33" s="15">
        <f t="shared" si="0"/>
        <v>30</v>
      </c>
      <c r="F33" s="15">
        <f t="shared" si="0"/>
        <v>20</v>
      </c>
      <c r="G33" s="15">
        <f t="shared" si="0"/>
        <v>0</v>
      </c>
      <c r="H33" s="15">
        <f t="shared" si="0"/>
        <v>0</v>
      </c>
    </row>
  </sheetData>
  <conditionalFormatting sqref="L16">
    <cfRule type="cellIs" dxfId="24" priority="1" operator="lessThan">
      <formula>0</formula>
    </cfRule>
    <cfRule type="cellIs" dxfId="23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4" workbookViewId="0">
      <selection activeCell="E18" sqref="E18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14</v>
      </c>
      <c r="F1" s="8" t="s">
        <v>4</v>
      </c>
      <c r="G1" s="8" t="s">
        <v>6</v>
      </c>
      <c r="H1" s="9" t="s">
        <v>7</v>
      </c>
      <c r="I1" s="1"/>
      <c r="J1" s="1"/>
      <c r="K1" s="16" t="s">
        <v>11</v>
      </c>
      <c r="L1" s="23">
        <v>250</v>
      </c>
    </row>
    <row r="2" spans="1:12" ht="16.2" thickBot="1" x14ac:dyDescent="0.35">
      <c r="A2" s="26">
        <v>1</v>
      </c>
      <c r="B2" s="10">
        <v>1.85</v>
      </c>
      <c r="C2" s="6"/>
      <c r="D2" s="6"/>
      <c r="E2" s="6">
        <f>16+1.55</f>
        <v>17.55</v>
      </c>
      <c r="F2" s="6"/>
      <c r="G2" s="6"/>
      <c r="H2" s="6"/>
      <c r="I2" s="1">
        <f>SUM(B2:G2)</f>
        <v>19.400000000000002</v>
      </c>
      <c r="J2" s="1"/>
      <c r="K2" s="17" t="s">
        <v>12</v>
      </c>
      <c r="L2" s="24">
        <v>0</v>
      </c>
    </row>
    <row r="3" spans="1:12" ht="15.6" x14ac:dyDescent="0.3">
      <c r="A3" s="4">
        <v>2</v>
      </c>
      <c r="B3" s="11"/>
      <c r="C3" s="5"/>
      <c r="D3" s="5"/>
      <c r="E3" s="5"/>
      <c r="F3" s="5"/>
      <c r="G3" s="5"/>
      <c r="H3" s="5"/>
      <c r="I3" s="1">
        <f t="shared" ref="I3:I32" si="0">SUM(B3:G3)</f>
        <v>0</v>
      </c>
      <c r="J3" s="1"/>
      <c r="K3" s="2"/>
      <c r="L3" s="1"/>
    </row>
    <row r="4" spans="1:12" ht="15.6" x14ac:dyDescent="0.3">
      <c r="A4" s="4">
        <v>3</v>
      </c>
      <c r="B4" s="11"/>
      <c r="C4" s="5"/>
      <c r="D4" s="5"/>
      <c r="E4" s="5">
        <f>13.5+5</f>
        <v>18.5</v>
      </c>
      <c r="F4" s="5"/>
      <c r="G4" s="5"/>
      <c r="H4" s="5"/>
      <c r="I4" s="1">
        <f t="shared" si="0"/>
        <v>18.5</v>
      </c>
      <c r="J4" s="1"/>
      <c r="K4" s="3"/>
      <c r="L4" s="1"/>
    </row>
    <row r="5" spans="1:12" ht="15.6" x14ac:dyDescent="0.3">
      <c r="A5" s="25">
        <v>4</v>
      </c>
      <c r="B5" s="11">
        <f>9.3+0.25</f>
        <v>9.5500000000000007</v>
      </c>
      <c r="C5" s="5"/>
      <c r="D5" s="5"/>
      <c r="E5" s="5"/>
      <c r="F5" s="5"/>
      <c r="G5" s="5"/>
      <c r="H5" s="5"/>
      <c r="I5" s="1">
        <f t="shared" si="0"/>
        <v>9.5500000000000007</v>
      </c>
      <c r="J5" s="1"/>
      <c r="K5" s="3"/>
      <c r="L5" s="1"/>
    </row>
    <row r="6" spans="1:12" ht="15.6" x14ac:dyDescent="0.3">
      <c r="A6" s="25">
        <v>5</v>
      </c>
      <c r="B6" s="11">
        <f>1.6+0.25</f>
        <v>1.85</v>
      </c>
      <c r="C6" s="5"/>
      <c r="D6" s="5"/>
      <c r="E6" s="5"/>
      <c r="F6" s="5"/>
      <c r="G6" s="5"/>
      <c r="H6" s="5"/>
      <c r="I6" s="1">
        <f t="shared" si="0"/>
        <v>1.85</v>
      </c>
      <c r="J6" s="1"/>
      <c r="K6" s="3"/>
      <c r="L6" s="1"/>
    </row>
    <row r="7" spans="1:12" ht="15.6" x14ac:dyDescent="0.3">
      <c r="A7" s="25">
        <v>6</v>
      </c>
      <c r="B7" s="11">
        <f>1.6+0.25+5.62</f>
        <v>7.4700000000000006</v>
      </c>
      <c r="C7" s="5"/>
      <c r="D7" s="5"/>
      <c r="E7" s="5"/>
      <c r="F7" s="5"/>
      <c r="G7" s="5"/>
      <c r="H7" s="5"/>
      <c r="I7" s="1">
        <f t="shared" si="0"/>
        <v>7.4700000000000006</v>
      </c>
      <c r="J7" s="1"/>
      <c r="K7" s="3"/>
      <c r="L7" s="1"/>
    </row>
    <row r="8" spans="1:12" ht="15.6" x14ac:dyDescent="0.3">
      <c r="A8" s="25">
        <v>7</v>
      </c>
      <c r="B8" s="11">
        <f t="shared" ref="B8:B9" si="1">1.6+0.25</f>
        <v>1.85</v>
      </c>
      <c r="C8" s="5"/>
      <c r="D8" s="5"/>
      <c r="E8" s="5"/>
      <c r="F8" s="5"/>
      <c r="G8" s="5"/>
      <c r="H8" s="5"/>
      <c r="I8" s="1">
        <f t="shared" si="0"/>
        <v>1.85</v>
      </c>
      <c r="J8" s="1"/>
      <c r="K8" s="3"/>
      <c r="L8" s="1"/>
    </row>
    <row r="9" spans="1:12" ht="15.6" x14ac:dyDescent="0.3">
      <c r="A9" s="25">
        <v>8</v>
      </c>
      <c r="B9" s="11">
        <f t="shared" si="1"/>
        <v>1.85</v>
      </c>
      <c r="C9" s="5"/>
      <c r="D9" s="5"/>
      <c r="E9" s="5"/>
      <c r="F9" s="5"/>
      <c r="G9" s="5"/>
      <c r="H9" s="5"/>
      <c r="I9" s="1">
        <f t="shared" si="0"/>
        <v>1.85</v>
      </c>
      <c r="J9" s="1"/>
      <c r="K9" s="3"/>
      <c r="L9" s="1"/>
    </row>
    <row r="10" spans="1:12" ht="15.6" x14ac:dyDescent="0.3">
      <c r="A10" s="4">
        <v>9</v>
      </c>
      <c r="B10" s="11"/>
      <c r="C10" s="5"/>
      <c r="D10" s="5"/>
      <c r="E10" s="5"/>
      <c r="F10" s="5">
        <v>5</v>
      </c>
      <c r="G10" s="5"/>
      <c r="H10" s="5"/>
      <c r="I10" s="1">
        <f t="shared" si="0"/>
        <v>5</v>
      </c>
      <c r="J10" s="1"/>
      <c r="K10" s="3"/>
      <c r="L10" s="1"/>
    </row>
    <row r="11" spans="1:12" ht="15.6" x14ac:dyDescent="0.3">
      <c r="A11" s="4">
        <v>10</v>
      </c>
      <c r="B11" s="11">
        <v>32.36</v>
      </c>
      <c r="C11" s="5"/>
      <c r="D11" s="5"/>
      <c r="E11" s="5"/>
      <c r="F11" s="5"/>
      <c r="G11" s="5">
        <v>45.96</v>
      </c>
      <c r="H11" s="5" t="s">
        <v>13</v>
      </c>
      <c r="I11" s="1">
        <f t="shared" si="0"/>
        <v>78.319999999999993</v>
      </c>
      <c r="J11" s="1"/>
      <c r="K11" s="3"/>
      <c r="L11" s="1"/>
    </row>
    <row r="12" spans="1:12" ht="16.2" thickBot="1" x14ac:dyDescent="0.35">
      <c r="A12" s="25">
        <v>11</v>
      </c>
      <c r="B12" s="11">
        <f>1.5+0.25+0.7</f>
        <v>2.4500000000000002</v>
      </c>
      <c r="C12" s="5"/>
      <c r="D12" s="5"/>
      <c r="E12" s="5"/>
      <c r="F12" s="5"/>
      <c r="G12" s="5"/>
      <c r="H12" s="5"/>
      <c r="I12" s="1">
        <f t="shared" si="0"/>
        <v>2.4500000000000002</v>
      </c>
      <c r="J12" s="1"/>
      <c r="K12" s="3"/>
      <c r="L12" s="1"/>
    </row>
    <row r="13" spans="1:12" ht="15.6" x14ac:dyDescent="0.3">
      <c r="A13" s="25">
        <v>12</v>
      </c>
      <c r="B13" s="11">
        <v>1.75</v>
      </c>
      <c r="C13" s="5"/>
      <c r="D13" s="5"/>
      <c r="E13" s="5"/>
      <c r="F13" s="5"/>
      <c r="G13" s="5"/>
      <c r="H13" s="5"/>
      <c r="I13" s="1">
        <f t="shared" si="0"/>
        <v>1.75</v>
      </c>
      <c r="J13" s="1"/>
      <c r="K13" s="16" t="s">
        <v>8</v>
      </c>
      <c r="L13" s="29">
        <v>916</v>
      </c>
    </row>
    <row r="14" spans="1:12" ht="15.6" x14ac:dyDescent="0.3">
      <c r="A14" s="25">
        <v>13</v>
      </c>
      <c r="B14" s="11">
        <v>1.75</v>
      </c>
      <c r="C14" s="5"/>
      <c r="D14" s="5"/>
      <c r="E14" s="5"/>
      <c r="F14" s="5"/>
      <c r="G14" s="5"/>
      <c r="H14" s="5"/>
      <c r="I14" s="1">
        <f t="shared" si="0"/>
        <v>1.75</v>
      </c>
      <c r="J14" s="1"/>
      <c r="K14" s="22" t="s">
        <v>9</v>
      </c>
      <c r="L14" s="28">
        <f>SUM(B33:H33)+L1+L2</f>
        <v>597.99</v>
      </c>
    </row>
    <row r="15" spans="1:12" ht="15.6" x14ac:dyDescent="0.3">
      <c r="A15" s="25">
        <v>14</v>
      </c>
      <c r="B15" s="11">
        <v>1.75</v>
      </c>
      <c r="C15" s="5"/>
      <c r="D15" s="5"/>
      <c r="E15" s="5"/>
      <c r="F15" s="5"/>
      <c r="G15" s="5"/>
      <c r="H15" s="5"/>
      <c r="I15" s="1">
        <f t="shared" si="0"/>
        <v>1.75</v>
      </c>
      <c r="J15" s="1"/>
      <c r="K15" s="20"/>
      <c r="L15" s="19"/>
    </row>
    <row r="16" spans="1:12" ht="16.2" thickBot="1" x14ac:dyDescent="0.35">
      <c r="A16" s="25">
        <v>15</v>
      </c>
      <c r="B16" s="11">
        <v>0.25</v>
      </c>
      <c r="C16" s="5"/>
      <c r="D16" s="5">
        <v>20</v>
      </c>
      <c r="E16" s="5">
        <v>10</v>
      </c>
      <c r="F16" s="5">
        <v>1.65</v>
      </c>
      <c r="G16" s="5"/>
      <c r="H16" s="5"/>
      <c r="I16" s="1">
        <f t="shared" si="0"/>
        <v>31.9</v>
      </c>
      <c r="J16" s="1"/>
      <c r="K16" s="21" t="s">
        <v>10</v>
      </c>
      <c r="L16" s="18">
        <f>L13-L14</f>
        <v>318.01</v>
      </c>
    </row>
    <row r="17" spans="1:12" ht="15.6" x14ac:dyDescent="0.3">
      <c r="A17" s="4">
        <v>16</v>
      </c>
      <c r="B17" s="11"/>
      <c r="C17" s="5"/>
      <c r="D17" s="5"/>
      <c r="E17" s="5"/>
      <c r="F17" s="5">
        <f>1.65+3.65</f>
        <v>5.3</v>
      </c>
      <c r="G17" s="5"/>
      <c r="H17" s="5"/>
      <c r="I17" s="1">
        <f t="shared" si="0"/>
        <v>5.3</v>
      </c>
      <c r="J17" s="1"/>
      <c r="K17" s="1"/>
      <c r="L17" s="1"/>
    </row>
    <row r="18" spans="1:12" ht="15.6" x14ac:dyDescent="0.3">
      <c r="A18" s="4">
        <v>17</v>
      </c>
      <c r="B18" s="11"/>
      <c r="C18" s="5"/>
      <c r="D18" s="5">
        <v>40</v>
      </c>
      <c r="E18" s="5">
        <v>10</v>
      </c>
      <c r="F18" s="5"/>
      <c r="G18" s="5"/>
      <c r="H18" s="5"/>
      <c r="I18" s="1">
        <f t="shared" si="0"/>
        <v>50</v>
      </c>
      <c r="J18" s="1"/>
      <c r="K18" s="1"/>
      <c r="L18" s="1"/>
    </row>
    <row r="19" spans="1:12" ht="15.6" x14ac:dyDescent="0.3">
      <c r="A19" s="25">
        <v>18</v>
      </c>
      <c r="B19" s="11">
        <v>1.75</v>
      </c>
      <c r="C19" s="5"/>
      <c r="D19" s="5"/>
      <c r="E19" s="5"/>
      <c r="F19" s="5"/>
      <c r="G19" s="5"/>
      <c r="H19" s="5"/>
      <c r="I19" s="1">
        <f t="shared" si="0"/>
        <v>1.75</v>
      </c>
      <c r="J19" s="1"/>
      <c r="K19" s="1"/>
      <c r="L19" s="1"/>
    </row>
    <row r="20" spans="1:12" ht="15.6" x14ac:dyDescent="0.3">
      <c r="A20" s="25">
        <v>19</v>
      </c>
      <c r="B20" s="11">
        <v>1.75</v>
      </c>
      <c r="C20" s="5"/>
      <c r="D20" s="5"/>
      <c r="E20" s="5"/>
      <c r="F20" s="5"/>
      <c r="G20" s="5"/>
      <c r="H20" s="5"/>
      <c r="I20" s="1">
        <f t="shared" si="0"/>
        <v>1.75</v>
      </c>
      <c r="J20" s="1"/>
      <c r="K20" s="1"/>
      <c r="L20" s="1"/>
    </row>
    <row r="21" spans="1:12" ht="15.6" x14ac:dyDescent="0.3">
      <c r="A21" s="25">
        <v>20</v>
      </c>
      <c r="B21" s="11">
        <v>4.4000000000000004</v>
      </c>
      <c r="C21" s="5"/>
      <c r="D21" s="5"/>
      <c r="E21" s="5">
        <v>6.73</v>
      </c>
      <c r="F21" s="5"/>
      <c r="G21" s="5">
        <f>28.04+14.08</f>
        <v>42.12</v>
      </c>
      <c r="H21" s="5" t="s">
        <v>16</v>
      </c>
      <c r="I21" s="1">
        <f t="shared" si="0"/>
        <v>53.25</v>
      </c>
      <c r="J21" s="1"/>
      <c r="K21" s="1"/>
      <c r="L21" s="1"/>
    </row>
    <row r="22" spans="1:12" ht="15.6" x14ac:dyDescent="0.3">
      <c r="A22" s="25">
        <v>21</v>
      </c>
      <c r="B22" s="11">
        <f>0.45+0.25</f>
        <v>0.7</v>
      </c>
      <c r="C22" s="5"/>
      <c r="D22" s="5"/>
      <c r="E22" s="5"/>
      <c r="F22" s="5"/>
      <c r="G22" s="5"/>
      <c r="H22" s="5"/>
      <c r="I22" s="1">
        <f t="shared" si="0"/>
        <v>0.7</v>
      </c>
      <c r="J22" s="1"/>
      <c r="K22" s="1"/>
      <c r="L22" s="1"/>
    </row>
    <row r="23" spans="1:12" ht="15.6" x14ac:dyDescent="0.3">
      <c r="A23" s="25">
        <v>22</v>
      </c>
      <c r="B23" s="11">
        <f>0.45+0.25</f>
        <v>0.7</v>
      </c>
      <c r="C23" s="5"/>
      <c r="D23" s="5"/>
      <c r="E23" s="5"/>
      <c r="F23" s="5"/>
      <c r="G23" s="5"/>
      <c r="H23" s="5"/>
      <c r="I23" s="1">
        <f t="shared" si="0"/>
        <v>0.7</v>
      </c>
      <c r="J23" s="1"/>
      <c r="K23" s="1"/>
      <c r="L23" s="1"/>
    </row>
    <row r="24" spans="1:12" ht="15.6" x14ac:dyDescent="0.3">
      <c r="A24" s="4">
        <v>23</v>
      </c>
      <c r="B24" s="5">
        <v>16.5</v>
      </c>
      <c r="C24" s="5"/>
      <c r="D24" s="5"/>
      <c r="E24" s="5"/>
      <c r="F24" s="5"/>
      <c r="G24" s="5"/>
      <c r="H24" s="5" t="s">
        <v>18</v>
      </c>
      <c r="I24" s="1">
        <f>SUM(B24:G24)</f>
        <v>16.5</v>
      </c>
      <c r="J24" s="1"/>
      <c r="K24" s="1"/>
      <c r="L24" s="1"/>
    </row>
    <row r="25" spans="1:12" ht="15.6" x14ac:dyDescent="0.3">
      <c r="A25" s="4">
        <v>24</v>
      </c>
      <c r="B25" s="11">
        <f>31.1-7</f>
        <v>24.1</v>
      </c>
      <c r="C25" s="5"/>
      <c r="D25" s="5"/>
      <c r="E25" s="5"/>
      <c r="F25" s="5"/>
      <c r="G25" s="5">
        <v>7</v>
      </c>
      <c r="H25" s="5" t="s">
        <v>17</v>
      </c>
      <c r="I25" s="1">
        <f t="shared" si="0"/>
        <v>31.1</v>
      </c>
      <c r="J25" s="1"/>
      <c r="K25" s="1"/>
      <c r="L25" s="1"/>
    </row>
    <row r="26" spans="1:12" ht="15.6" x14ac:dyDescent="0.3">
      <c r="A26" s="25">
        <v>25</v>
      </c>
      <c r="B26" s="11">
        <v>0.7</v>
      </c>
      <c r="C26" s="5"/>
      <c r="D26" s="5"/>
      <c r="E26" s="5"/>
      <c r="F26" s="5"/>
      <c r="G26" s="5"/>
      <c r="H26" s="5"/>
      <c r="I26" s="1">
        <f t="shared" si="0"/>
        <v>0.7</v>
      </c>
      <c r="J26" s="1"/>
      <c r="K26" s="1"/>
      <c r="L26" s="1"/>
    </row>
    <row r="27" spans="1:12" ht="15.6" x14ac:dyDescent="0.3">
      <c r="A27" s="25">
        <v>26</v>
      </c>
      <c r="B27" s="11">
        <v>0.7</v>
      </c>
      <c r="C27" s="5"/>
      <c r="D27" s="5"/>
      <c r="E27" s="5"/>
      <c r="F27" s="5"/>
      <c r="G27" s="5"/>
      <c r="H27" s="5"/>
      <c r="I27" s="1">
        <f t="shared" si="0"/>
        <v>0.7</v>
      </c>
      <c r="J27" s="1"/>
      <c r="K27" s="1"/>
      <c r="L27" s="1"/>
    </row>
    <row r="28" spans="1:12" ht="15.6" x14ac:dyDescent="0.3">
      <c r="A28" s="25">
        <v>27</v>
      </c>
      <c r="B28" s="11">
        <v>1.1499999999999999</v>
      </c>
      <c r="C28" s="5"/>
      <c r="D28" s="5"/>
      <c r="E28" s="5"/>
      <c r="F28" s="5"/>
      <c r="G28" s="5"/>
      <c r="H28" s="5"/>
      <c r="I28" s="1">
        <f t="shared" si="0"/>
        <v>1.1499999999999999</v>
      </c>
      <c r="J28" s="1"/>
      <c r="K28" s="1"/>
      <c r="L28" s="1"/>
    </row>
    <row r="29" spans="1:12" ht="15.6" x14ac:dyDescent="0.3">
      <c r="A29" s="25">
        <v>28</v>
      </c>
      <c r="B29" s="11">
        <v>1</v>
      </c>
      <c r="C29" s="5"/>
      <c r="D29" s="5"/>
      <c r="E29" s="5"/>
      <c r="F29" s="5"/>
      <c r="G29" s="5"/>
      <c r="H29" s="5"/>
      <c r="I29" s="1">
        <f t="shared" si="0"/>
        <v>1</v>
      </c>
      <c r="J29" s="1"/>
      <c r="K29" s="1"/>
      <c r="L29" s="1"/>
    </row>
    <row r="30" spans="1:12" ht="15.6" x14ac:dyDescent="0.3">
      <c r="A30" s="33">
        <v>29</v>
      </c>
      <c r="B30" s="34"/>
      <c r="C30" s="35"/>
      <c r="D30" s="35"/>
      <c r="E30" s="35"/>
      <c r="F30" s="35"/>
      <c r="G30" s="35"/>
      <c r="H30" s="35"/>
      <c r="I30" s="1">
        <f t="shared" si="0"/>
        <v>0</v>
      </c>
      <c r="J30" s="1"/>
      <c r="K30" s="1"/>
      <c r="L30" s="1"/>
    </row>
    <row r="31" spans="1:12" ht="15.6" x14ac:dyDescent="0.3">
      <c r="A31" s="33">
        <v>30</v>
      </c>
      <c r="B31" s="34"/>
      <c r="C31" s="35"/>
      <c r="D31" s="35"/>
      <c r="E31" s="35"/>
      <c r="F31" s="35"/>
      <c r="G31" s="35"/>
      <c r="H31" s="35"/>
      <c r="I31" s="1">
        <f t="shared" si="0"/>
        <v>0</v>
      </c>
      <c r="J31" s="1"/>
      <c r="K31" s="1"/>
      <c r="L31" s="1"/>
    </row>
    <row r="32" spans="1:12" ht="16.2" thickBot="1" x14ac:dyDescent="0.35">
      <c r="A32" s="36">
        <v>31</v>
      </c>
      <c r="B32" s="37"/>
      <c r="C32" s="38"/>
      <c r="D32" s="38"/>
      <c r="E32" s="38"/>
      <c r="F32" s="38"/>
      <c r="G32" s="38"/>
      <c r="H32" s="38"/>
      <c r="I32" s="1">
        <f t="shared" si="0"/>
        <v>0</v>
      </c>
      <c r="J32" s="1"/>
      <c r="K32" s="1"/>
      <c r="L32" s="1"/>
    </row>
    <row r="33" spans="1:11" ht="16.2" thickBot="1" x14ac:dyDescent="0.35">
      <c r="A33" s="14" t="s">
        <v>5</v>
      </c>
      <c r="B33" s="15">
        <f>SUM(B2:B32)</f>
        <v>118.18000000000004</v>
      </c>
      <c r="C33" s="15">
        <f>SUM(C2:C32)</f>
        <v>0</v>
      </c>
      <c r="D33" s="15">
        <f t="shared" ref="D33:H33" si="2">SUM(D2:D32)</f>
        <v>60</v>
      </c>
      <c r="E33" s="15">
        <f t="shared" si="2"/>
        <v>62.78</v>
      </c>
      <c r="F33" s="15">
        <f t="shared" si="2"/>
        <v>11.95</v>
      </c>
      <c r="G33" s="15">
        <f t="shared" si="2"/>
        <v>95.08</v>
      </c>
      <c r="H33" s="15">
        <f t="shared" si="2"/>
        <v>0</v>
      </c>
      <c r="I33" s="1">
        <f>SUM(I2:I32)</f>
        <v>347.98999999999995</v>
      </c>
    </row>
    <row r="34" spans="1:11" x14ac:dyDescent="0.3">
      <c r="K34" t="s">
        <v>19</v>
      </c>
    </row>
  </sheetData>
  <conditionalFormatting sqref="L16">
    <cfRule type="cellIs" dxfId="22" priority="1" operator="lessThan">
      <formula>0</formula>
    </cfRule>
    <cfRule type="cellIs" dxfId="21" priority="2" operator="greaterThan">
      <formula>0</formula>
    </cfRule>
    <cfRule type="cellIs" dxfId="2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F30" sqref="F30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1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0" t="s">
        <v>7</v>
      </c>
      <c r="I1" s="48" t="s">
        <v>5</v>
      </c>
      <c r="J1" s="1"/>
      <c r="K1" s="16" t="s">
        <v>11</v>
      </c>
      <c r="L1" s="23">
        <v>250</v>
      </c>
    </row>
    <row r="2" spans="1:12" ht="16.2" thickBot="1" x14ac:dyDescent="0.35">
      <c r="A2" s="26">
        <v>1</v>
      </c>
      <c r="B2" s="10">
        <f>11.2+0.8</f>
        <v>12</v>
      </c>
      <c r="C2" s="6"/>
      <c r="D2" s="6"/>
      <c r="E2" s="6">
        <f>16+3.51</f>
        <v>19.509999999999998</v>
      </c>
      <c r="F2" s="6">
        <f>3.75+4</f>
        <v>7.75</v>
      </c>
      <c r="G2" s="6"/>
      <c r="H2" s="40"/>
      <c r="I2" s="47">
        <f>SUM(B2:G2)</f>
        <v>39.26</v>
      </c>
      <c r="J2" s="1"/>
      <c r="K2" s="17" t="s">
        <v>12</v>
      </c>
      <c r="L2" s="24"/>
    </row>
    <row r="3" spans="1:12" ht="15.6" x14ac:dyDescent="0.3">
      <c r="A3" s="4">
        <v>2</v>
      </c>
      <c r="B3" s="11">
        <v>8</v>
      </c>
      <c r="C3" s="5"/>
      <c r="D3" s="5">
        <v>20</v>
      </c>
      <c r="E3" s="5"/>
      <c r="F3" s="5">
        <v>15</v>
      </c>
      <c r="G3" s="5">
        <f>11.9+4</f>
        <v>15.9</v>
      </c>
      <c r="H3" s="41" t="s">
        <v>20</v>
      </c>
      <c r="I3" s="44">
        <f t="shared" ref="I3:I33" si="0">SUM(B3:G3)</f>
        <v>58.9</v>
      </c>
      <c r="J3" s="1"/>
      <c r="K3" s="2"/>
      <c r="L3" s="1"/>
    </row>
    <row r="4" spans="1:12" ht="15.6" x14ac:dyDescent="0.3">
      <c r="A4" s="4">
        <v>3</v>
      </c>
      <c r="B4" s="11"/>
      <c r="C4" s="5"/>
      <c r="D4" s="5"/>
      <c r="E4" s="5">
        <f>13.5+5</f>
        <v>18.5</v>
      </c>
      <c r="F4" s="5"/>
      <c r="G4" s="5"/>
      <c r="H4" s="41"/>
      <c r="I4" s="44">
        <f t="shared" si="0"/>
        <v>18.5</v>
      </c>
      <c r="J4" s="1"/>
      <c r="K4" s="3"/>
      <c r="L4" s="1"/>
    </row>
    <row r="5" spans="1:12" ht="15.6" x14ac:dyDescent="0.3">
      <c r="A5" s="25">
        <v>4</v>
      </c>
      <c r="B5" s="11">
        <v>0.45</v>
      </c>
      <c r="C5" s="5"/>
      <c r="D5" s="5"/>
      <c r="E5" s="5"/>
      <c r="F5" s="5"/>
      <c r="G5" s="5"/>
      <c r="H5" s="41"/>
      <c r="I5" s="44">
        <f t="shared" si="0"/>
        <v>0.45</v>
      </c>
      <c r="J5" s="1"/>
      <c r="K5" s="3"/>
      <c r="L5" s="1"/>
    </row>
    <row r="6" spans="1:12" ht="15.6" x14ac:dyDescent="0.3">
      <c r="A6" s="25">
        <v>5</v>
      </c>
      <c r="B6" s="11">
        <v>0.9</v>
      </c>
      <c r="C6" s="5"/>
      <c r="D6" s="5"/>
      <c r="E6" s="5"/>
      <c r="F6" s="5"/>
      <c r="G6" s="5"/>
      <c r="H6" s="41"/>
      <c r="I6" s="44">
        <f t="shared" si="0"/>
        <v>0.9</v>
      </c>
      <c r="J6" s="1"/>
      <c r="K6" s="3"/>
      <c r="L6" s="1"/>
    </row>
    <row r="7" spans="1:12" ht="15.6" x14ac:dyDescent="0.3">
      <c r="A7" s="25">
        <v>6</v>
      </c>
      <c r="B7" s="11">
        <f>0.25+0.45+0.7</f>
        <v>1.4</v>
      </c>
      <c r="C7" s="5"/>
      <c r="D7" s="5"/>
      <c r="E7" s="5"/>
      <c r="F7" s="5"/>
      <c r="G7" s="5"/>
      <c r="H7" s="41"/>
      <c r="I7" s="44">
        <f t="shared" si="0"/>
        <v>1.4</v>
      </c>
      <c r="J7" s="1"/>
      <c r="K7" s="3"/>
      <c r="L7" s="1"/>
    </row>
    <row r="8" spans="1:12" ht="15.6" x14ac:dyDescent="0.3">
      <c r="A8" s="25">
        <v>7</v>
      </c>
      <c r="B8" s="11">
        <v>0.65</v>
      </c>
      <c r="C8" s="5"/>
      <c r="D8" s="5"/>
      <c r="E8" s="5"/>
      <c r="F8" s="5"/>
      <c r="G8" s="5"/>
      <c r="H8" s="41"/>
      <c r="I8" s="44">
        <f t="shared" si="0"/>
        <v>0.65</v>
      </c>
      <c r="J8" s="1"/>
      <c r="K8" s="3"/>
      <c r="L8" s="1"/>
    </row>
    <row r="9" spans="1:12" ht="15.6" x14ac:dyDescent="0.3">
      <c r="A9" s="25">
        <v>8</v>
      </c>
      <c r="B9" s="11">
        <f>0.65+20</f>
        <v>20.65</v>
      </c>
      <c r="C9" s="5"/>
      <c r="D9" s="5"/>
      <c r="E9" s="5"/>
      <c r="F9" s="5">
        <v>3</v>
      </c>
      <c r="G9" s="5">
        <v>20</v>
      </c>
      <c r="H9" s="41" t="s">
        <v>21</v>
      </c>
      <c r="I9" s="44">
        <f t="shared" si="0"/>
        <v>43.65</v>
      </c>
      <c r="J9" s="1"/>
      <c r="K9" s="3"/>
      <c r="L9" s="1"/>
    </row>
    <row r="10" spans="1:12" ht="15.6" x14ac:dyDescent="0.3">
      <c r="A10" s="4">
        <v>9</v>
      </c>
      <c r="B10" s="11">
        <f>18.8-2.25</f>
        <v>16.55</v>
      </c>
      <c r="C10" s="5"/>
      <c r="D10" s="5"/>
      <c r="E10" s="5"/>
      <c r="F10" s="5"/>
      <c r="G10" s="5">
        <v>2.25</v>
      </c>
      <c r="H10" s="41" t="s">
        <v>22</v>
      </c>
      <c r="I10" s="44">
        <f t="shared" si="0"/>
        <v>18.8</v>
      </c>
      <c r="J10" s="1"/>
      <c r="K10" s="3"/>
      <c r="L10" s="1"/>
    </row>
    <row r="11" spans="1:12" ht="15.6" x14ac:dyDescent="0.3">
      <c r="A11" s="4">
        <v>10</v>
      </c>
      <c r="B11" s="11"/>
      <c r="C11" s="5"/>
      <c r="D11" s="5"/>
      <c r="E11" s="5"/>
      <c r="F11" s="5">
        <v>2</v>
      </c>
      <c r="G11" s="5"/>
      <c r="H11" s="41"/>
      <c r="I11" s="44">
        <f t="shared" si="0"/>
        <v>2</v>
      </c>
      <c r="J11" s="1"/>
      <c r="K11" s="3"/>
      <c r="L11" s="1"/>
    </row>
    <row r="12" spans="1:12" ht="16.2" thickBot="1" x14ac:dyDescent="0.35">
      <c r="A12" s="25">
        <v>11</v>
      </c>
      <c r="B12" s="11">
        <f>0.25+0.9</f>
        <v>1.1499999999999999</v>
      </c>
      <c r="C12" s="5"/>
      <c r="D12" s="5">
        <v>20</v>
      </c>
      <c r="E12" s="5"/>
      <c r="F12" s="5"/>
      <c r="G12" s="5"/>
      <c r="H12" s="41"/>
      <c r="I12" s="44">
        <f t="shared" si="0"/>
        <v>21.15</v>
      </c>
      <c r="J12" s="1"/>
      <c r="K12" s="3"/>
      <c r="L12" s="1"/>
    </row>
    <row r="13" spans="1:12" ht="15.6" x14ac:dyDescent="0.3">
      <c r="A13" s="25">
        <v>12</v>
      </c>
      <c r="B13" s="11">
        <f>0.25+0.3</f>
        <v>0.55000000000000004</v>
      </c>
      <c r="C13" s="5"/>
      <c r="D13" s="5"/>
      <c r="E13" s="5"/>
      <c r="F13" s="5"/>
      <c r="G13" s="5"/>
      <c r="H13" s="41"/>
      <c r="I13" s="44">
        <f t="shared" si="0"/>
        <v>0.55000000000000004</v>
      </c>
      <c r="J13" s="1"/>
      <c r="K13" s="16" t="s">
        <v>8</v>
      </c>
      <c r="L13" s="29">
        <v>916</v>
      </c>
    </row>
    <row r="14" spans="1:12" ht="15.6" x14ac:dyDescent="0.3">
      <c r="A14" s="25">
        <v>13</v>
      </c>
      <c r="B14" s="11">
        <f>0.9+0.25</f>
        <v>1.1499999999999999</v>
      </c>
      <c r="C14" s="5"/>
      <c r="D14" s="5"/>
      <c r="E14" s="5"/>
      <c r="F14" s="5"/>
      <c r="G14" s="5">
        <v>50</v>
      </c>
      <c r="H14" s="41" t="s">
        <v>23</v>
      </c>
      <c r="I14" s="44">
        <f t="shared" si="0"/>
        <v>51.15</v>
      </c>
      <c r="J14" s="1"/>
      <c r="K14" s="22" t="s">
        <v>9</v>
      </c>
      <c r="L14" s="28">
        <f>SUM(B33:H33)+L1+L2</f>
        <v>666.18000000000006</v>
      </c>
    </row>
    <row r="15" spans="1:12" ht="15.6" x14ac:dyDescent="0.3">
      <c r="A15" s="25">
        <v>14</v>
      </c>
      <c r="B15" s="11">
        <f>0.25+0.45</f>
        <v>0.7</v>
      </c>
      <c r="C15" s="5"/>
      <c r="D15" s="5"/>
      <c r="E15" s="5"/>
      <c r="F15" s="5"/>
      <c r="G15" s="5"/>
      <c r="H15" s="41"/>
      <c r="I15" s="44">
        <f t="shared" si="0"/>
        <v>0.7</v>
      </c>
      <c r="J15" s="1"/>
      <c r="K15" s="20"/>
      <c r="L15" s="19"/>
    </row>
    <row r="16" spans="1:12" ht="16.2" thickBot="1" x14ac:dyDescent="0.35">
      <c r="A16" s="25">
        <v>15</v>
      </c>
      <c r="B16" s="11"/>
      <c r="C16" s="5"/>
      <c r="D16" s="5"/>
      <c r="E16" s="5">
        <v>10</v>
      </c>
      <c r="F16" s="5">
        <v>3.7</v>
      </c>
      <c r="G16" s="5"/>
      <c r="H16" s="41"/>
      <c r="I16" s="44">
        <f t="shared" si="0"/>
        <v>13.7</v>
      </c>
      <c r="J16" s="1"/>
      <c r="K16" s="21" t="s">
        <v>10</v>
      </c>
      <c r="L16" s="18">
        <f>L13-L14</f>
        <v>249.81999999999994</v>
      </c>
    </row>
    <row r="17" spans="1:12" ht="15.6" x14ac:dyDescent="0.3">
      <c r="A17" s="4">
        <v>16</v>
      </c>
      <c r="B17" s="11"/>
      <c r="C17" s="5"/>
      <c r="D17" s="5"/>
      <c r="E17" s="5"/>
      <c r="F17" s="5">
        <f>7+2.7</f>
        <v>9.6999999999999993</v>
      </c>
      <c r="G17" s="5"/>
      <c r="H17" s="41"/>
      <c r="I17" s="44">
        <f t="shared" si="0"/>
        <v>9.6999999999999993</v>
      </c>
      <c r="J17" s="1"/>
      <c r="K17" s="1"/>
      <c r="L17" s="1"/>
    </row>
    <row r="18" spans="1:12" ht="15.6" x14ac:dyDescent="0.3">
      <c r="A18" s="4">
        <v>17</v>
      </c>
      <c r="B18" s="11"/>
      <c r="C18" s="5"/>
      <c r="D18" s="5">
        <v>40</v>
      </c>
      <c r="E18" s="5">
        <v>10</v>
      </c>
      <c r="F18" s="5">
        <v>1.7</v>
      </c>
      <c r="G18" s="5"/>
      <c r="H18" s="41"/>
      <c r="I18" s="44">
        <f t="shared" si="0"/>
        <v>51.7</v>
      </c>
      <c r="J18" s="1"/>
      <c r="K18" s="1"/>
      <c r="L18" s="1"/>
    </row>
    <row r="19" spans="1:12" ht="15.6" x14ac:dyDescent="0.3">
      <c r="A19" s="25">
        <v>18</v>
      </c>
      <c r="B19" s="11">
        <f>0.25+1.35+2</f>
        <v>3.6</v>
      </c>
      <c r="C19" s="5">
        <v>6</v>
      </c>
      <c r="D19" s="5"/>
      <c r="E19" s="5"/>
      <c r="F19" s="5"/>
      <c r="G19" s="5"/>
      <c r="H19" s="41"/>
      <c r="I19" s="44">
        <f t="shared" si="0"/>
        <v>9.6</v>
      </c>
      <c r="J19" s="1"/>
      <c r="K19" s="1"/>
      <c r="L19" s="1"/>
    </row>
    <row r="20" spans="1:12" ht="15.6" x14ac:dyDescent="0.3">
      <c r="A20" s="25">
        <v>19</v>
      </c>
      <c r="B20" s="11">
        <f>0.25+1.15</f>
        <v>1.4</v>
      </c>
      <c r="C20" s="5"/>
      <c r="D20" s="5"/>
      <c r="E20" s="5"/>
      <c r="F20" s="5"/>
      <c r="G20" s="5"/>
      <c r="H20" s="41"/>
      <c r="I20" s="44">
        <f t="shared" si="0"/>
        <v>1.4</v>
      </c>
      <c r="J20" s="1"/>
      <c r="K20" s="1"/>
      <c r="L20" s="1"/>
    </row>
    <row r="21" spans="1:12" ht="15.6" x14ac:dyDescent="0.3">
      <c r="A21" s="25">
        <v>20</v>
      </c>
      <c r="B21" s="11">
        <f>0.25+0.45</f>
        <v>0.7</v>
      </c>
      <c r="C21" s="5"/>
      <c r="D21" s="5"/>
      <c r="E21" s="5"/>
      <c r="F21" s="5"/>
      <c r="G21" s="5"/>
      <c r="H21" s="41"/>
      <c r="I21" s="44">
        <f t="shared" si="0"/>
        <v>0.7</v>
      </c>
      <c r="J21" s="1"/>
      <c r="K21" s="1"/>
      <c r="L21" s="1"/>
    </row>
    <row r="22" spans="1:12" ht="15.6" x14ac:dyDescent="0.3">
      <c r="A22" s="25">
        <v>21</v>
      </c>
      <c r="B22" s="11">
        <f>0.7+0.25+0.45</f>
        <v>1.4</v>
      </c>
      <c r="C22" s="5"/>
      <c r="D22" s="5"/>
      <c r="E22" s="5"/>
      <c r="F22" s="5"/>
      <c r="G22" s="5"/>
      <c r="H22" s="41"/>
      <c r="I22" s="44">
        <f t="shared" si="0"/>
        <v>1.4</v>
      </c>
      <c r="J22" s="1"/>
      <c r="K22" s="1"/>
      <c r="L22" s="1"/>
    </row>
    <row r="23" spans="1:12" ht="15.6" x14ac:dyDescent="0.3">
      <c r="A23" s="25">
        <v>22</v>
      </c>
      <c r="B23" s="11">
        <f>0.25+0.9</f>
        <v>1.1499999999999999</v>
      </c>
      <c r="C23" s="5"/>
      <c r="D23" s="5"/>
      <c r="E23" s="5"/>
      <c r="F23" s="5">
        <v>1</v>
      </c>
      <c r="G23" s="5"/>
      <c r="H23" s="41"/>
      <c r="I23" s="44">
        <f t="shared" si="0"/>
        <v>2.15</v>
      </c>
      <c r="J23" s="1"/>
      <c r="K23" s="1"/>
      <c r="L23" s="1"/>
    </row>
    <row r="24" spans="1:12" ht="15.6" x14ac:dyDescent="0.3">
      <c r="A24" s="4">
        <v>23</v>
      </c>
      <c r="B24" s="11">
        <v>8.2799999999999994</v>
      </c>
      <c r="C24" s="5"/>
      <c r="D24" s="5"/>
      <c r="E24" s="5"/>
      <c r="F24" s="5"/>
      <c r="G24" s="5"/>
      <c r="H24" s="41"/>
      <c r="I24" s="44">
        <f t="shared" si="0"/>
        <v>8.2799999999999994</v>
      </c>
      <c r="J24" s="1"/>
      <c r="K24" s="1"/>
      <c r="L24" s="1"/>
    </row>
    <row r="25" spans="1:12" ht="15.6" x14ac:dyDescent="0.3">
      <c r="A25" s="4">
        <v>24</v>
      </c>
      <c r="B25" s="11"/>
      <c r="C25" s="5"/>
      <c r="D25" s="5"/>
      <c r="E25" s="5"/>
      <c r="F25" s="5">
        <v>1.3</v>
      </c>
      <c r="G25" s="5"/>
      <c r="H25" s="41"/>
      <c r="I25" s="44">
        <f t="shared" si="0"/>
        <v>1.3</v>
      </c>
      <c r="J25" s="1"/>
      <c r="K25" s="1"/>
      <c r="L25" s="1"/>
    </row>
    <row r="26" spans="1:12" ht="15.6" x14ac:dyDescent="0.3">
      <c r="A26" s="25">
        <v>25</v>
      </c>
      <c r="B26" s="11">
        <f>0.9+0.25+7.87</f>
        <v>9.02</v>
      </c>
      <c r="C26" s="5"/>
      <c r="D26" s="5"/>
      <c r="E26" s="5"/>
      <c r="F26" s="5"/>
      <c r="G26" s="5">
        <v>3</v>
      </c>
      <c r="H26" s="41" t="s">
        <v>38</v>
      </c>
      <c r="I26" s="44">
        <f t="shared" si="0"/>
        <v>12.02</v>
      </c>
      <c r="J26" s="1"/>
      <c r="K26" s="1"/>
      <c r="L26" s="1"/>
    </row>
    <row r="27" spans="1:12" ht="15.6" x14ac:dyDescent="0.3">
      <c r="A27" s="25">
        <v>26</v>
      </c>
      <c r="B27" s="11">
        <f>0.25+0.35</f>
        <v>0.6</v>
      </c>
      <c r="C27" s="5"/>
      <c r="D27" s="5"/>
      <c r="E27" s="5"/>
      <c r="F27" s="5"/>
      <c r="G27" s="5">
        <v>10.91</v>
      </c>
      <c r="H27" s="41" t="s">
        <v>37</v>
      </c>
      <c r="I27" s="44">
        <f t="shared" si="0"/>
        <v>11.51</v>
      </c>
      <c r="J27" s="1"/>
      <c r="K27" s="1"/>
      <c r="L27" s="1"/>
    </row>
    <row r="28" spans="1:12" ht="15.6" x14ac:dyDescent="0.3">
      <c r="A28" s="25">
        <v>27</v>
      </c>
      <c r="B28" s="11">
        <f>0.25+1.35+3.64</f>
        <v>5.24</v>
      </c>
      <c r="C28" s="5"/>
      <c r="D28" s="5"/>
      <c r="E28" s="5"/>
      <c r="F28" s="5"/>
      <c r="G28" s="5"/>
      <c r="H28" s="41"/>
      <c r="I28" s="44">
        <f t="shared" si="0"/>
        <v>5.24</v>
      </c>
      <c r="J28" s="1"/>
      <c r="K28" s="1"/>
      <c r="L28" s="1"/>
    </row>
    <row r="29" spans="1:12" ht="15.6" x14ac:dyDescent="0.3">
      <c r="A29" s="25">
        <v>28</v>
      </c>
      <c r="B29" s="11">
        <f>0.25+0.45</f>
        <v>0.7</v>
      </c>
      <c r="C29" s="5"/>
      <c r="D29" s="5"/>
      <c r="E29" s="5"/>
      <c r="F29" s="5">
        <v>1</v>
      </c>
      <c r="G29" s="5"/>
      <c r="H29" s="41"/>
      <c r="I29" s="44">
        <f t="shared" si="0"/>
        <v>1.7</v>
      </c>
      <c r="J29" s="1"/>
      <c r="K29" s="1"/>
      <c r="L29" s="1"/>
    </row>
    <row r="30" spans="1:12" ht="15.6" x14ac:dyDescent="0.3">
      <c r="A30" s="25">
        <v>29</v>
      </c>
      <c r="B30" s="11">
        <v>6.45</v>
      </c>
      <c r="C30" s="5"/>
      <c r="D30" s="5"/>
      <c r="E30" s="5"/>
      <c r="F30" s="5">
        <v>2.4</v>
      </c>
      <c r="G30" s="5"/>
      <c r="H30" s="41" t="s">
        <v>39</v>
      </c>
      <c r="I30" s="44">
        <f t="shared" si="0"/>
        <v>8.85</v>
      </c>
      <c r="J30" s="1"/>
      <c r="K30" s="1"/>
      <c r="L30" s="1"/>
    </row>
    <row r="31" spans="1:12" ht="15.6" x14ac:dyDescent="0.3">
      <c r="A31" s="4">
        <v>30</v>
      </c>
      <c r="B31" s="11">
        <v>0.25</v>
      </c>
      <c r="C31" s="5"/>
      <c r="D31" s="5"/>
      <c r="E31" s="5"/>
      <c r="F31" s="5"/>
      <c r="G31" s="5"/>
      <c r="H31" s="41"/>
      <c r="I31" s="44">
        <f t="shared" si="0"/>
        <v>0.25</v>
      </c>
      <c r="J31" s="1"/>
      <c r="K31" s="1"/>
      <c r="L31" s="1"/>
    </row>
    <row r="32" spans="1:12" ht="16.2" thickBot="1" x14ac:dyDescent="0.35">
      <c r="A32" s="39">
        <v>31</v>
      </c>
      <c r="B32" s="12">
        <f>18.62-C32</f>
        <v>14.830000000000002</v>
      </c>
      <c r="C32" s="13">
        <v>3.79</v>
      </c>
      <c r="D32" s="13"/>
      <c r="E32" s="13"/>
      <c r="F32" s="13"/>
      <c r="G32" s="13"/>
      <c r="H32" s="42"/>
      <c r="I32" s="45">
        <f t="shared" si="0"/>
        <v>18.62</v>
      </c>
      <c r="J32" s="1"/>
      <c r="K32" s="1"/>
      <c r="L32" s="1"/>
    </row>
    <row r="33" spans="1:9" ht="16.2" thickBot="1" x14ac:dyDescent="0.35">
      <c r="A33" s="14" t="s">
        <v>5</v>
      </c>
      <c r="B33" s="49">
        <f>SUM(B2:B32)</f>
        <v>117.77</v>
      </c>
      <c r="C33" s="49">
        <f>SUM(C2:C32)</f>
        <v>9.7899999999999991</v>
      </c>
      <c r="D33" s="49">
        <f t="shared" ref="D33:H33" si="1">SUM(D2:D32)</f>
        <v>80</v>
      </c>
      <c r="E33" s="49">
        <f t="shared" si="1"/>
        <v>58.01</v>
      </c>
      <c r="F33" s="49">
        <f t="shared" si="1"/>
        <v>48.55</v>
      </c>
      <c r="G33" s="49">
        <f t="shared" si="1"/>
        <v>102.06</v>
      </c>
      <c r="H33" s="49">
        <f t="shared" si="1"/>
        <v>0</v>
      </c>
      <c r="I33" s="46">
        <f t="shared" si="0"/>
        <v>416.18</v>
      </c>
    </row>
  </sheetData>
  <conditionalFormatting sqref="L1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F12" sqref="F12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250</v>
      </c>
    </row>
    <row r="2" spans="1:12" ht="16.2" thickBot="1" x14ac:dyDescent="0.35">
      <c r="A2" s="82">
        <v>1</v>
      </c>
      <c r="B2" s="53"/>
      <c r="C2" s="54"/>
      <c r="D2" s="10"/>
      <c r="E2" s="6"/>
      <c r="F2" s="6">
        <v>2.2000000000000002</v>
      </c>
      <c r="G2" s="6">
        <v>4.99</v>
      </c>
      <c r="H2" s="40" t="s">
        <v>46</v>
      </c>
      <c r="I2" s="56">
        <f>SUM(B2:H2)</f>
        <v>7.19</v>
      </c>
      <c r="J2" s="1"/>
      <c r="K2" s="17" t="s">
        <v>12</v>
      </c>
      <c r="L2" s="24"/>
    </row>
    <row r="3" spans="1:12" ht="15.6" x14ac:dyDescent="0.3">
      <c r="A3" s="25">
        <v>2</v>
      </c>
      <c r="B3" s="11">
        <f>0.45+0.25</f>
        <v>0.7</v>
      </c>
      <c r="C3" s="6"/>
      <c r="D3" s="5"/>
      <c r="E3" s="5"/>
      <c r="F3" s="5">
        <v>1.1000000000000001</v>
      </c>
      <c r="G3" s="5"/>
      <c r="H3" s="41"/>
      <c r="I3" s="56">
        <f t="shared" ref="I3:I32" si="0">SUM(B3:H3)</f>
        <v>1.8</v>
      </c>
      <c r="J3" s="1"/>
      <c r="K3" s="2"/>
      <c r="L3" s="1"/>
    </row>
    <row r="4" spans="1:12" ht="15.6" x14ac:dyDescent="0.3">
      <c r="A4" s="25">
        <v>3</v>
      </c>
      <c r="B4" s="11">
        <f>0.25+0.5+0.9</f>
        <v>1.65</v>
      </c>
      <c r="C4" s="5"/>
      <c r="D4" s="5"/>
      <c r="E4" s="5"/>
      <c r="F4" s="5"/>
      <c r="G4" s="5"/>
      <c r="H4" s="41"/>
      <c r="I4" s="56">
        <f t="shared" si="0"/>
        <v>1.65</v>
      </c>
      <c r="J4" s="1"/>
      <c r="K4" s="3"/>
      <c r="L4" s="1"/>
    </row>
    <row r="5" spans="1:12" ht="15.6" x14ac:dyDescent="0.3">
      <c r="A5" s="4">
        <v>4</v>
      </c>
      <c r="B5" s="11"/>
      <c r="C5" s="5"/>
      <c r="D5" s="5"/>
      <c r="E5" s="5"/>
      <c r="F5" s="5">
        <v>1.1000000000000001</v>
      </c>
      <c r="G5" s="5">
        <v>12</v>
      </c>
      <c r="H5" s="41" t="s">
        <v>47</v>
      </c>
      <c r="I5" s="56">
        <f t="shared" si="0"/>
        <v>13.1</v>
      </c>
      <c r="J5" s="1"/>
      <c r="K5" s="3"/>
      <c r="L5" s="1"/>
    </row>
    <row r="6" spans="1:12" ht="15.6" x14ac:dyDescent="0.3">
      <c r="A6" s="4">
        <v>5</v>
      </c>
      <c r="B6" s="11">
        <v>4.5199999999999996</v>
      </c>
      <c r="C6" s="5"/>
      <c r="D6" s="5">
        <v>30</v>
      </c>
      <c r="E6" s="5">
        <v>5.4</v>
      </c>
      <c r="F6" s="5"/>
      <c r="G6" s="5"/>
      <c r="H6" s="41"/>
      <c r="I6" s="56">
        <f t="shared" si="0"/>
        <v>39.919999999999995</v>
      </c>
      <c r="J6" s="1"/>
      <c r="K6" s="3"/>
      <c r="L6" s="1"/>
    </row>
    <row r="7" spans="1:12" ht="15.6" x14ac:dyDescent="0.3">
      <c r="A7" s="25">
        <v>6</v>
      </c>
      <c r="B7" s="11">
        <f>0.25+0.4</f>
        <v>0.65</v>
      </c>
      <c r="C7" s="5"/>
      <c r="D7" s="5"/>
      <c r="E7" s="5"/>
      <c r="F7" s="5"/>
      <c r="G7" s="5"/>
      <c r="H7" s="41"/>
      <c r="I7" s="56">
        <f t="shared" si="0"/>
        <v>0.65</v>
      </c>
      <c r="J7" s="1"/>
      <c r="K7" s="3"/>
      <c r="L7" s="1"/>
    </row>
    <row r="8" spans="1:12" ht="15.6" x14ac:dyDescent="0.3">
      <c r="A8" s="25">
        <v>7</v>
      </c>
      <c r="B8" s="11">
        <f>0.25+0.9</f>
        <v>1.1499999999999999</v>
      </c>
      <c r="C8" s="5"/>
      <c r="D8" s="5"/>
      <c r="E8" s="5"/>
      <c r="F8" s="5"/>
      <c r="G8" s="5"/>
      <c r="H8" s="41"/>
      <c r="I8" s="56">
        <f t="shared" si="0"/>
        <v>1.1499999999999999</v>
      </c>
      <c r="J8" s="1"/>
      <c r="K8" s="3"/>
      <c r="L8" s="1"/>
    </row>
    <row r="9" spans="1:12" ht="15.6" x14ac:dyDescent="0.3">
      <c r="A9" s="25">
        <v>8</v>
      </c>
      <c r="B9" s="11">
        <f>0.25+0.4</f>
        <v>0.65</v>
      </c>
      <c r="C9" s="5"/>
      <c r="D9" s="5"/>
      <c r="E9" s="5"/>
      <c r="F9" s="5"/>
      <c r="G9" s="5"/>
      <c r="H9" s="41"/>
      <c r="I9" s="56">
        <f t="shared" si="0"/>
        <v>0.65</v>
      </c>
      <c r="J9" s="1"/>
      <c r="K9" s="3"/>
      <c r="L9" s="1"/>
    </row>
    <row r="10" spans="1:12" ht="15.6" x14ac:dyDescent="0.3">
      <c r="A10" s="25">
        <v>9</v>
      </c>
      <c r="B10" s="11">
        <f>0.25+0.4+6.1</f>
        <v>6.75</v>
      </c>
      <c r="C10" s="5"/>
      <c r="D10" s="5"/>
      <c r="E10" s="5"/>
      <c r="F10" s="5"/>
      <c r="G10" s="5"/>
      <c r="H10" s="41"/>
      <c r="I10" s="56">
        <f t="shared" si="0"/>
        <v>6.75</v>
      </c>
      <c r="J10" s="1"/>
      <c r="K10" s="3"/>
      <c r="L10" s="1"/>
    </row>
    <row r="11" spans="1:12" ht="15.6" x14ac:dyDescent="0.3">
      <c r="A11" s="25">
        <v>10</v>
      </c>
      <c r="B11" s="11">
        <f>1.65</f>
        <v>1.65</v>
      </c>
      <c r="C11" s="5"/>
      <c r="D11" s="5"/>
      <c r="E11" s="5">
        <f>4.68+9.8</f>
        <v>14.48</v>
      </c>
      <c r="F11" s="5">
        <v>35</v>
      </c>
      <c r="G11" s="5"/>
      <c r="H11" s="41" t="s">
        <v>48</v>
      </c>
      <c r="I11" s="56">
        <f t="shared" si="0"/>
        <v>51.129999999999995</v>
      </c>
      <c r="J11" s="1"/>
      <c r="K11" s="3"/>
      <c r="L11" s="1"/>
    </row>
    <row r="12" spans="1:12" ht="16.2" thickBot="1" x14ac:dyDescent="0.35">
      <c r="A12" s="4">
        <v>11</v>
      </c>
      <c r="B12" s="11"/>
      <c r="C12" s="5"/>
      <c r="D12" s="5"/>
      <c r="E12" s="5"/>
      <c r="F12" s="5">
        <v>9</v>
      </c>
      <c r="G12" s="5"/>
      <c r="H12" s="41" t="s">
        <v>49</v>
      </c>
      <c r="I12" s="56">
        <f t="shared" si="0"/>
        <v>9</v>
      </c>
      <c r="J12" s="1"/>
      <c r="K12" s="3"/>
      <c r="L12" s="1"/>
    </row>
    <row r="13" spans="1:12" ht="15.6" x14ac:dyDescent="0.3">
      <c r="A13" s="4">
        <v>12</v>
      </c>
      <c r="B13" s="11"/>
      <c r="C13" s="5"/>
      <c r="D13" s="5"/>
      <c r="E13" s="5">
        <f>13.5+5</f>
        <v>18.5</v>
      </c>
      <c r="F13" s="5"/>
      <c r="G13" s="5"/>
      <c r="H13" s="41"/>
      <c r="I13" s="56">
        <f t="shared" si="0"/>
        <v>18.5</v>
      </c>
      <c r="J13" s="1"/>
      <c r="K13" s="16" t="s">
        <v>8</v>
      </c>
      <c r="L13" s="29">
        <v>946.4</v>
      </c>
    </row>
    <row r="14" spans="1:12" ht="15.6" x14ac:dyDescent="0.3">
      <c r="A14" s="25">
        <v>13</v>
      </c>
      <c r="B14" s="11">
        <f>0.25+1.2</f>
        <v>1.45</v>
      </c>
      <c r="C14" s="5"/>
      <c r="D14" s="5"/>
      <c r="E14" s="5"/>
      <c r="F14" s="5"/>
      <c r="G14" s="5"/>
      <c r="H14" s="41"/>
      <c r="I14" s="56">
        <f t="shared" si="0"/>
        <v>1.45</v>
      </c>
      <c r="J14" s="1"/>
      <c r="K14" s="22" t="s">
        <v>9</v>
      </c>
      <c r="L14" s="28">
        <f>SUM(B33:H33)+L1+L2</f>
        <v>646.19000000000005</v>
      </c>
    </row>
    <row r="15" spans="1:12" ht="15.6" x14ac:dyDescent="0.3">
      <c r="A15" s="25">
        <v>14</v>
      </c>
      <c r="B15" s="11">
        <f>0.25+0.45+3.48</f>
        <v>4.18</v>
      </c>
      <c r="C15" s="5"/>
      <c r="D15" s="5"/>
      <c r="E15" s="5"/>
      <c r="F15" s="5"/>
      <c r="G15" s="5"/>
      <c r="H15" s="41"/>
      <c r="I15" s="56">
        <f t="shared" si="0"/>
        <v>4.18</v>
      </c>
      <c r="J15" s="1"/>
      <c r="K15" s="20"/>
      <c r="L15" s="19"/>
    </row>
    <row r="16" spans="1:12" ht="16.2" thickBot="1" x14ac:dyDescent="0.35">
      <c r="A16" s="25">
        <v>15</v>
      </c>
      <c r="B16" s="11">
        <f>0.25+0.25+0.35</f>
        <v>0.85</v>
      </c>
      <c r="C16" s="5"/>
      <c r="D16" s="5"/>
      <c r="E16" s="5"/>
      <c r="F16" s="5"/>
      <c r="G16" s="5">
        <v>50</v>
      </c>
      <c r="H16" s="41" t="s">
        <v>23</v>
      </c>
      <c r="I16" s="56">
        <f t="shared" si="0"/>
        <v>50.85</v>
      </c>
      <c r="J16" s="1"/>
      <c r="K16" s="21" t="s">
        <v>10</v>
      </c>
      <c r="L16" s="18">
        <f>L13-L14</f>
        <v>300.20999999999992</v>
      </c>
    </row>
    <row r="17" spans="1:12" ht="15.6" x14ac:dyDescent="0.3">
      <c r="A17" s="25">
        <v>16</v>
      </c>
      <c r="B17" s="11">
        <f>0.25+0.25+0.85</f>
        <v>1.35</v>
      </c>
      <c r="C17" s="5"/>
      <c r="D17" s="5"/>
      <c r="E17" s="5"/>
      <c r="F17" s="5"/>
      <c r="G17" s="5"/>
      <c r="H17" s="41"/>
      <c r="I17" s="56">
        <f t="shared" si="0"/>
        <v>1.35</v>
      </c>
      <c r="J17" s="1"/>
      <c r="K17" s="1"/>
      <c r="L17" s="1"/>
    </row>
    <row r="18" spans="1:12" ht="15.6" x14ac:dyDescent="0.3">
      <c r="A18" s="25">
        <v>17</v>
      </c>
      <c r="B18" s="11"/>
      <c r="C18" s="5"/>
      <c r="D18" s="5"/>
      <c r="E18" s="5">
        <f>10.5</f>
        <v>10.5</v>
      </c>
      <c r="F18" s="5">
        <v>1</v>
      </c>
      <c r="G18" s="5"/>
      <c r="H18" s="41"/>
      <c r="I18" s="56">
        <f t="shared" si="0"/>
        <v>11.5</v>
      </c>
      <c r="J18" s="1"/>
      <c r="K18" s="1"/>
      <c r="L18" s="1"/>
    </row>
    <row r="19" spans="1:12" ht="15.6" x14ac:dyDescent="0.3">
      <c r="A19" s="4">
        <v>18</v>
      </c>
      <c r="B19" s="11"/>
      <c r="C19" s="5"/>
      <c r="D19" s="5"/>
      <c r="E19" s="5"/>
      <c r="F19" s="5">
        <v>30</v>
      </c>
      <c r="G19" s="5"/>
      <c r="H19" s="41" t="s">
        <v>50</v>
      </c>
      <c r="I19" s="56">
        <f t="shared" si="0"/>
        <v>30</v>
      </c>
      <c r="J19" s="1"/>
      <c r="K19" s="1"/>
      <c r="L19" s="1"/>
    </row>
    <row r="20" spans="1:12" ht="15.6" x14ac:dyDescent="0.3">
      <c r="A20" s="4">
        <v>19</v>
      </c>
      <c r="B20" s="11"/>
      <c r="C20" s="5"/>
      <c r="D20" s="5"/>
      <c r="E20" s="5">
        <f>13.5+5</f>
        <v>18.5</v>
      </c>
      <c r="F20" s="5"/>
      <c r="G20" s="5"/>
      <c r="H20" s="41"/>
      <c r="I20" s="56">
        <f t="shared" si="0"/>
        <v>18.5</v>
      </c>
      <c r="J20" s="1"/>
      <c r="K20" s="1"/>
      <c r="L20" s="1"/>
    </row>
    <row r="21" spans="1:12" ht="15.6" x14ac:dyDescent="0.3">
      <c r="A21" s="25">
        <v>20</v>
      </c>
      <c r="B21" s="11">
        <f>0.25+0.9</f>
        <v>1.1499999999999999</v>
      </c>
      <c r="C21" s="5"/>
      <c r="D21" s="5"/>
      <c r="E21" s="5"/>
      <c r="F21" s="5">
        <v>1.1000000000000001</v>
      </c>
      <c r="G21" s="5"/>
      <c r="H21" s="41"/>
      <c r="I21" s="56">
        <f t="shared" si="0"/>
        <v>2.25</v>
      </c>
      <c r="J21" s="1"/>
      <c r="K21" s="1"/>
      <c r="L21" s="1"/>
    </row>
    <row r="22" spans="1:12" ht="15.6" x14ac:dyDescent="0.3">
      <c r="A22" s="25">
        <v>21</v>
      </c>
      <c r="B22" s="11">
        <f>7.52+0.25+0.45</f>
        <v>8.2199999999999989</v>
      </c>
      <c r="C22" s="5"/>
      <c r="D22" s="5"/>
      <c r="E22" s="5"/>
      <c r="F22" s="5"/>
      <c r="G22" s="5"/>
      <c r="H22" s="41"/>
      <c r="I22" s="56">
        <f t="shared" si="0"/>
        <v>8.2199999999999989</v>
      </c>
      <c r="J22" s="1"/>
      <c r="K22" s="1"/>
      <c r="L22" s="1"/>
    </row>
    <row r="23" spans="1:12" ht="15.6" x14ac:dyDescent="0.3">
      <c r="A23" s="25">
        <v>22</v>
      </c>
      <c r="B23" s="11">
        <f>0.25+0.25+0.45</f>
        <v>0.95</v>
      </c>
      <c r="C23" s="5"/>
      <c r="D23" s="5"/>
      <c r="E23" s="5"/>
      <c r="F23" s="5"/>
      <c r="G23" s="5"/>
      <c r="H23" s="41"/>
      <c r="I23" s="56">
        <f t="shared" si="0"/>
        <v>0.95</v>
      </c>
      <c r="J23" s="1"/>
      <c r="K23" s="1"/>
      <c r="L23" s="1"/>
    </row>
    <row r="24" spans="1:12" ht="15.6" x14ac:dyDescent="0.3">
      <c r="A24" s="25">
        <v>23</v>
      </c>
      <c r="B24" s="11">
        <f>0.25+0.45+0.7</f>
        <v>1.4</v>
      </c>
      <c r="C24" s="5"/>
      <c r="D24" s="5"/>
      <c r="E24" s="5"/>
      <c r="F24" s="5"/>
      <c r="G24" s="5"/>
      <c r="H24" s="41"/>
      <c r="I24" s="56">
        <f t="shared" si="0"/>
        <v>1.4</v>
      </c>
      <c r="J24" s="1"/>
      <c r="K24" s="1"/>
      <c r="L24" s="1"/>
    </row>
    <row r="25" spans="1:12" ht="15.6" x14ac:dyDescent="0.3">
      <c r="A25" s="25">
        <v>24</v>
      </c>
      <c r="B25" s="11">
        <f>0.25+0.9+0.7</f>
        <v>1.8499999999999999</v>
      </c>
      <c r="C25" s="5"/>
      <c r="D25" s="5"/>
      <c r="E25" s="5"/>
      <c r="F25" s="5">
        <f>6.55+6+2.5</f>
        <v>15.05</v>
      </c>
      <c r="G25" s="5">
        <v>2</v>
      </c>
      <c r="H25" s="41" t="s">
        <v>51</v>
      </c>
      <c r="I25" s="56">
        <f t="shared" si="0"/>
        <v>18.900000000000002</v>
      </c>
      <c r="J25" s="1"/>
      <c r="K25" s="1"/>
      <c r="L25" s="1"/>
    </row>
    <row r="26" spans="1:12" ht="15.6" x14ac:dyDescent="0.3">
      <c r="A26" s="4">
        <v>25</v>
      </c>
      <c r="B26" s="11">
        <f>14.51-C26</f>
        <v>5.1999999999999993</v>
      </c>
      <c r="C26" s="5">
        <f>3.37+3.7+2.24</f>
        <v>9.31</v>
      </c>
      <c r="D26" s="5"/>
      <c r="E26" s="5"/>
      <c r="F26" s="5"/>
      <c r="G26" s="5"/>
      <c r="H26" s="41"/>
      <c r="I26" s="56">
        <f t="shared" si="0"/>
        <v>14.51</v>
      </c>
      <c r="J26" s="1"/>
      <c r="K26" s="1"/>
      <c r="L26" s="1"/>
    </row>
    <row r="27" spans="1:12" ht="15.6" x14ac:dyDescent="0.3">
      <c r="A27" s="4">
        <v>26</v>
      </c>
      <c r="B27" s="11">
        <v>4.04</v>
      </c>
      <c r="C27" s="5"/>
      <c r="D27" s="5"/>
      <c r="E27" s="5"/>
      <c r="F27" s="5"/>
      <c r="G27" s="5"/>
      <c r="H27" s="41"/>
      <c r="I27" s="56">
        <f t="shared" si="0"/>
        <v>4.04</v>
      </c>
      <c r="J27" s="1"/>
      <c r="K27" s="1"/>
      <c r="L27" s="1"/>
    </row>
    <row r="28" spans="1:12" ht="15.6" x14ac:dyDescent="0.3">
      <c r="A28" s="25">
        <v>27</v>
      </c>
      <c r="B28" s="11">
        <f>0.25+0.45</f>
        <v>0.7</v>
      </c>
      <c r="C28" s="5"/>
      <c r="D28" s="5"/>
      <c r="E28" s="5"/>
      <c r="F28" s="5"/>
      <c r="G28" s="5"/>
      <c r="H28" s="41"/>
      <c r="I28" s="56">
        <f t="shared" si="0"/>
        <v>0.7</v>
      </c>
      <c r="J28" s="1"/>
      <c r="K28" s="1"/>
      <c r="L28" s="1"/>
    </row>
    <row r="29" spans="1:12" ht="15.6" x14ac:dyDescent="0.3">
      <c r="A29" s="25">
        <v>28</v>
      </c>
      <c r="B29" s="12">
        <f t="shared" ref="B29:B31" si="1">0.25+0.45</f>
        <v>0.7</v>
      </c>
      <c r="C29" s="5"/>
      <c r="D29" s="5"/>
      <c r="E29" s="5"/>
      <c r="F29" s="5"/>
      <c r="G29" s="5"/>
      <c r="H29" s="41"/>
      <c r="I29" s="56">
        <f t="shared" si="0"/>
        <v>0.7</v>
      </c>
      <c r="J29" s="1"/>
      <c r="K29" s="1"/>
      <c r="L29" s="1"/>
    </row>
    <row r="30" spans="1:12" ht="15.6" x14ac:dyDescent="0.3">
      <c r="A30" s="25">
        <v>29</v>
      </c>
      <c r="B30" s="12">
        <f t="shared" si="1"/>
        <v>0.7</v>
      </c>
      <c r="C30" s="5"/>
      <c r="D30" s="5"/>
      <c r="E30" s="5"/>
      <c r="F30" s="5"/>
      <c r="G30" s="5"/>
      <c r="H30" s="41"/>
      <c r="I30" s="56">
        <f t="shared" si="0"/>
        <v>0.7</v>
      </c>
      <c r="J30" s="1"/>
      <c r="K30" s="1"/>
      <c r="L30" s="1"/>
    </row>
    <row r="31" spans="1:12" ht="15.6" x14ac:dyDescent="0.3">
      <c r="A31" s="25">
        <v>30</v>
      </c>
      <c r="B31" s="12">
        <f t="shared" si="1"/>
        <v>0.7</v>
      </c>
      <c r="C31" s="5"/>
      <c r="D31" s="5"/>
      <c r="E31" s="5"/>
      <c r="F31" s="5">
        <v>1.1000000000000001</v>
      </c>
      <c r="G31" s="5"/>
      <c r="H31" s="41"/>
      <c r="I31" s="56">
        <f t="shared" si="0"/>
        <v>1.8</v>
      </c>
      <c r="J31" s="1"/>
      <c r="K31" s="1"/>
      <c r="L31" s="1"/>
    </row>
    <row r="32" spans="1:12" ht="16.2" thickBot="1" x14ac:dyDescent="0.35">
      <c r="A32" s="27">
        <v>31</v>
      </c>
      <c r="B32" s="12">
        <f>0.25+0.45</f>
        <v>0.7</v>
      </c>
      <c r="C32" s="13"/>
      <c r="D32" s="13">
        <v>40</v>
      </c>
      <c r="E32" s="13"/>
      <c r="F32" s="13">
        <f>17+15</f>
        <v>32</v>
      </c>
      <c r="G32" s="13"/>
      <c r="H32" s="42" t="s">
        <v>52</v>
      </c>
      <c r="I32" s="56">
        <f t="shared" si="0"/>
        <v>72.7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51.860000000000021</v>
      </c>
      <c r="C33" s="49">
        <f>SUM(C2:C32)</f>
        <v>9.31</v>
      </c>
      <c r="D33" s="49">
        <f>SUM(D2:D32)</f>
        <v>70</v>
      </c>
      <c r="E33" s="49">
        <f t="shared" ref="E33:H33" si="2">SUM(E2:E32)</f>
        <v>67.38</v>
      </c>
      <c r="F33" s="49">
        <f t="shared" si="2"/>
        <v>128.64999999999998</v>
      </c>
      <c r="G33" s="43">
        <f t="shared" si="2"/>
        <v>68.990000000000009</v>
      </c>
      <c r="H33" s="49">
        <f t="shared" si="2"/>
        <v>0</v>
      </c>
      <c r="I33" s="55">
        <f>SUM(I2:I32)</f>
        <v>396.18999999999988</v>
      </c>
    </row>
  </sheetData>
  <conditionalFormatting sqref="L1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1" workbookViewId="0">
      <selection activeCell="H35" sqref="H35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250</v>
      </c>
    </row>
    <row r="2" spans="1:12" ht="16.2" thickBot="1" x14ac:dyDescent="0.35">
      <c r="A2" s="26">
        <v>1</v>
      </c>
      <c r="B2" s="53">
        <f>0.9+0.25</f>
        <v>1.1499999999999999</v>
      </c>
      <c r="C2" s="54"/>
      <c r="D2" s="10"/>
      <c r="E2" s="6"/>
      <c r="F2" s="6"/>
      <c r="G2" s="6">
        <v>12.5</v>
      </c>
      <c r="H2" s="40" t="s">
        <v>37</v>
      </c>
      <c r="I2" s="56">
        <f>SUM(B2:H2)</f>
        <v>13.65</v>
      </c>
      <c r="J2" s="1"/>
      <c r="K2" s="17" t="s">
        <v>12</v>
      </c>
      <c r="L2" s="24"/>
    </row>
    <row r="3" spans="1:12" ht="15.6" x14ac:dyDescent="0.3">
      <c r="A3" s="25">
        <v>2</v>
      </c>
      <c r="B3" s="53">
        <f>0.45+0.25</f>
        <v>0.7</v>
      </c>
      <c r="C3" s="6"/>
      <c r="D3" s="5"/>
      <c r="E3" s="5"/>
      <c r="F3" s="5"/>
      <c r="G3" s="5"/>
      <c r="H3" s="41"/>
      <c r="I3" s="56">
        <f t="shared" ref="I3:I32" si="0">SUM(B3:H3)</f>
        <v>0.7</v>
      </c>
      <c r="J3" s="1"/>
      <c r="K3" s="2"/>
      <c r="L3" s="1"/>
    </row>
    <row r="4" spans="1:12" ht="15.6" x14ac:dyDescent="0.3">
      <c r="A4" s="25">
        <v>3</v>
      </c>
      <c r="B4" s="53">
        <f>0.9+0.25</f>
        <v>1.1499999999999999</v>
      </c>
      <c r="C4" s="5"/>
      <c r="D4" s="5">
        <v>20</v>
      </c>
      <c r="E4" s="5"/>
      <c r="F4" s="5"/>
      <c r="G4" s="5"/>
      <c r="H4" s="41"/>
      <c r="I4" s="56">
        <f t="shared" si="0"/>
        <v>21.15</v>
      </c>
      <c r="J4" s="1"/>
      <c r="K4" s="3"/>
      <c r="L4" s="1"/>
    </row>
    <row r="5" spans="1:12" ht="15.6" x14ac:dyDescent="0.3">
      <c r="A5" s="25">
        <v>4</v>
      </c>
      <c r="B5" s="11"/>
      <c r="C5" s="5"/>
      <c r="D5" s="5"/>
      <c r="E5" s="5"/>
      <c r="F5" s="5"/>
      <c r="G5" s="5"/>
      <c r="H5" s="41"/>
      <c r="I5" s="56">
        <f t="shared" si="0"/>
        <v>0</v>
      </c>
      <c r="J5" s="1"/>
      <c r="K5" s="3"/>
      <c r="L5" s="1"/>
    </row>
    <row r="6" spans="1:12" ht="15.6" x14ac:dyDescent="0.3">
      <c r="A6" s="25">
        <v>5</v>
      </c>
      <c r="B6" s="11"/>
      <c r="C6" s="5"/>
      <c r="D6" s="5"/>
      <c r="E6" s="5">
        <f>16+3.8</f>
        <v>19.8</v>
      </c>
      <c r="F6" s="5">
        <v>25</v>
      </c>
      <c r="G6" s="5"/>
      <c r="H6" s="41" t="s">
        <v>40</v>
      </c>
      <c r="I6" s="56">
        <f t="shared" si="0"/>
        <v>44.8</v>
      </c>
      <c r="J6" s="1"/>
      <c r="K6" s="3"/>
      <c r="L6" s="1"/>
    </row>
    <row r="7" spans="1:12" ht="15.6" x14ac:dyDescent="0.3">
      <c r="A7" s="4">
        <v>6</v>
      </c>
      <c r="B7" s="11"/>
      <c r="C7" s="5"/>
      <c r="D7" s="5"/>
      <c r="E7" s="5"/>
      <c r="F7" s="5">
        <v>2</v>
      </c>
      <c r="G7" s="5"/>
      <c r="H7" s="41"/>
      <c r="I7" s="56">
        <f t="shared" si="0"/>
        <v>2</v>
      </c>
      <c r="J7" s="1"/>
      <c r="K7" s="3"/>
      <c r="L7" s="1"/>
    </row>
    <row r="8" spans="1:12" ht="15.6" x14ac:dyDescent="0.3">
      <c r="A8" s="4">
        <v>7</v>
      </c>
      <c r="B8" s="11"/>
      <c r="C8" s="5"/>
      <c r="D8" s="5"/>
      <c r="E8" s="5">
        <f>13.5+5</f>
        <v>18.5</v>
      </c>
      <c r="F8" s="5"/>
      <c r="G8" s="5"/>
      <c r="H8" s="41"/>
      <c r="I8" s="56">
        <f t="shared" si="0"/>
        <v>18.5</v>
      </c>
      <c r="J8" s="1"/>
      <c r="K8" s="3"/>
      <c r="L8" s="1"/>
    </row>
    <row r="9" spans="1:12" ht="15.6" x14ac:dyDescent="0.3">
      <c r="A9" s="25">
        <v>8</v>
      </c>
      <c r="B9" s="11">
        <f>8.34+0.25+1.15</f>
        <v>9.74</v>
      </c>
      <c r="C9" s="5"/>
      <c r="D9" s="5"/>
      <c r="E9" s="5"/>
      <c r="F9" s="5"/>
      <c r="G9" s="5"/>
      <c r="H9" s="41"/>
      <c r="I9" s="56">
        <f t="shared" si="0"/>
        <v>9.74</v>
      </c>
      <c r="J9" s="1"/>
      <c r="K9" s="3"/>
      <c r="L9" s="1"/>
    </row>
    <row r="10" spans="1:12" ht="15.6" x14ac:dyDescent="0.3">
      <c r="A10" s="25">
        <v>9</v>
      </c>
      <c r="B10" s="11">
        <f>0.25+0.9+0.7+5.95</f>
        <v>7.8</v>
      </c>
      <c r="C10" s="5"/>
      <c r="D10" s="5"/>
      <c r="E10" s="5"/>
      <c r="F10" s="5"/>
      <c r="G10" s="5"/>
      <c r="H10" s="41"/>
      <c r="I10" s="56">
        <f t="shared" si="0"/>
        <v>7.8</v>
      </c>
      <c r="J10" s="1"/>
      <c r="K10" s="3"/>
      <c r="L10" s="1"/>
    </row>
    <row r="11" spans="1:12" ht="15.6" x14ac:dyDescent="0.3">
      <c r="A11" s="25">
        <v>10</v>
      </c>
      <c r="B11" s="11">
        <f>0.25+1.15+0.7+0.77</f>
        <v>2.8699999999999997</v>
      </c>
      <c r="C11" s="5"/>
      <c r="D11" s="5"/>
      <c r="E11" s="5"/>
      <c r="F11" s="5"/>
      <c r="G11" s="5"/>
      <c r="H11" s="41"/>
      <c r="I11" s="56">
        <f t="shared" si="0"/>
        <v>2.8699999999999997</v>
      </c>
      <c r="J11" s="1"/>
      <c r="K11" s="3"/>
      <c r="L11" s="1"/>
    </row>
    <row r="12" spans="1:12" ht="16.2" thickBot="1" x14ac:dyDescent="0.35">
      <c r="A12" s="25">
        <v>11</v>
      </c>
      <c r="B12" s="11">
        <f>0.35+0.4</f>
        <v>0.75</v>
      </c>
      <c r="C12" s="5"/>
      <c r="D12" s="5"/>
      <c r="E12" s="5"/>
      <c r="F12" s="5">
        <v>13.15</v>
      </c>
      <c r="G12" s="5"/>
      <c r="H12" s="41" t="s">
        <v>42</v>
      </c>
      <c r="I12" s="56">
        <f t="shared" si="0"/>
        <v>13.9</v>
      </c>
      <c r="J12" s="1"/>
      <c r="K12" s="3"/>
      <c r="L12" s="1"/>
    </row>
    <row r="13" spans="1:12" ht="15.6" x14ac:dyDescent="0.3">
      <c r="A13" s="25">
        <v>12</v>
      </c>
      <c r="B13" s="11">
        <f>0.23+0.9</f>
        <v>1.1300000000000001</v>
      </c>
      <c r="C13" s="5"/>
      <c r="D13" s="5"/>
      <c r="E13" s="5"/>
      <c r="F13" s="5"/>
      <c r="G13" s="5"/>
      <c r="H13" s="41"/>
      <c r="I13" s="56">
        <f t="shared" si="0"/>
        <v>1.1300000000000001</v>
      </c>
      <c r="J13" s="1"/>
      <c r="K13" s="16" t="s">
        <v>8</v>
      </c>
      <c r="L13" s="29">
        <v>1060</v>
      </c>
    </row>
    <row r="14" spans="1:12" ht="15.6" x14ac:dyDescent="0.3">
      <c r="A14" s="4">
        <v>13</v>
      </c>
      <c r="B14" s="11">
        <v>5.95</v>
      </c>
      <c r="C14" s="5"/>
      <c r="D14" s="5"/>
      <c r="E14" s="5"/>
      <c r="F14" s="5"/>
      <c r="G14" s="5">
        <f>19.98+29.99+36.99</f>
        <v>86.960000000000008</v>
      </c>
      <c r="H14" s="41" t="s">
        <v>41</v>
      </c>
      <c r="I14" s="56">
        <f t="shared" si="0"/>
        <v>92.910000000000011</v>
      </c>
      <c r="J14" s="1"/>
      <c r="K14" s="22" t="s">
        <v>9</v>
      </c>
      <c r="L14" s="28">
        <f>SUM(B33:H33)+L1+L2</f>
        <v>791.4</v>
      </c>
    </row>
    <row r="15" spans="1:12" ht="15.6" x14ac:dyDescent="0.3">
      <c r="A15" s="4">
        <v>14</v>
      </c>
      <c r="B15" s="11"/>
      <c r="C15" s="5"/>
      <c r="D15" s="5"/>
      <c r="E15" s="5"/>
      <c r="F15" s="5">
        <v>1</v>
      </c>
      <c r="G15" s="5"/>
      <c r="H15" s="41"/>
      <c r="I15" s="56">
        <f t="shared" si="0"/>
        <v>1</v>
      </c>
      <c r="J15" s="1"/>
      <c r="K15" s="20"/>
      <c r="L15" s="19"/>
    </row>
    <row r="16" spans="1:12" ht="16.2" thickBot="1" x14ac:dyDescent="0.35">
      <c r="A16" s="25">
        <v>15</v>
      </c>
      <c r="B16" s="11">
        <v>0.9</v>
      </c>
      <c r="C16" s="5"/>
      <c r="D16" s="5"/>
      <c r="E16" s="5"/>
      <c r="F16" s="5"/>
      <c r="G16" s="5"/>
      <c r="H16" s="41"/>
      <c r="I16" s="56">
        <f t="shared" si="0"/>
        <v>0.9</v>
      </c>
      <c r="J16" s="1"/>
      <c r="K16" s="21" t="s">
        <v>10</v>
      </c>
      <c r="L16" s="18">
        <f>L13-L14</f>
        <v>268.60000000000002</v>
      </c>
    </row>
    <row r="17" spans="1:12" ht="15.6" x14ac:dyDescent="0.3">
      <c r="A17" s="25">
        <v>16</v>
      </c>
      <c r="B17" s="11">
        <v>0.9</v>
      </c>
      <c r="C17" s="5"/>
      <c r="D17" s="5"/>
      <c r="E17" s="5"/>
      <c r="F17" s="5"/>
      <c r="G17" s="5"/>
      <c r="H17" s="41"/>
      <c r="I17" s="56">
        <f t="shared" si="0"/>
        <v>0.9</v>
      </c>
      <c r="J17" s="1"/>
      <c r="K17" s="1"/>
      <c r="L17" s="1"/>
    </row>
    <row r="18" spans="1:12" ht="15.6" x14ac:dyDescent="0.3">
      <c r="A18" s="25">
        <v>17</v>
      </c>
      <c r="B18" s="11">
        <v>1.1499999999999999</v>
      </c>
      <c r="C18" s="5"/>
      <c r="D18" s="5">
        <v>40</v>
      </c>
      <c r="E18" s="5"/>
      <c r="F18" s="5"/>
      <c r="G18" s="5">
        <v>50</v>
      </c>
      <c r="H18" s="41" t="s">
        <v>23</v>
      </c>
      <c r="I18" s="56">
        <f t="shared" si="0"/>
        <v>91.15</v>
      </c>
      <c r="J18" s="1"/>
      <c r="K18" s="1"/>
      <c r="L18" s="1"/>
    </row>
    <row r="19" spans="1:12" ht="15.6" x14ac:dyDescent="0.3">
      <c r="A19" s="25">
        <v>18</v>
      </c>
      <c r="B19" s="11">
        <f>5.95+1.15</f>
        <v>7.1</v>
      </c>
      <c r="C19" s="5"/>
      <c r="D19" s="5"/>
      <c r="E19" s="5"/>
      <c r="F19" s="5">
        <v>2</v>
      </c>
      <c r="G19" s="5"/>
      <c r="H19" s="41"/>
      <c r="I19" s="56">
        <f t="shared" si="0"/>
        <v>9.1</v>
      </c>
      <c r="J19" s="1"/>
      <c r="K19" s="1"/>
      <c r="L19" s="1"/>
    </row>
    <row r="20" spans="1:12" ht="15.6" x14ac:dyDescent="0.3">
      <c r="A20" s="25">
        <v>19</v>
      </c>
      <c r="B20" s="11"/>
      <c r="C20" s="5"/>
      <c r="D20" s="5"/>
      <c r="E20" s="5">
        <v>10</v>
      </c>
      <c r="F20" s="5">
        <f>1.7+5</f>
        <v>6.7</v>
      </c>
      <c r="G20" s="5"/>
      <c r="H20" s="41"/>
      <c r="I20" s="56">
        <f t="shared" si="0"/>
        <v>16.7</v>
      </c>
      <c r="J20" s="1"/>
      <c r="K20" s="1"/>
      <c r="L20" s="1"/>
    </row>
    <row r="21" spans="1:12" ht="15.6" x14ac:dyDescent="0.3">
      <c r="A21" s="4">
        <v>20</v>
      </c>
      <c r="B21" s="11"/>
      <c r="C21" s="5"/>
      <c r="D21" s="5"/>
      <c r="E21" s="5"/>
      <c r="F21" s="5">
        <f>5+1.7</f>
        <v>6.7</v>
      </c>
      <c r="G21" s="5"/>
      <c r="H21" s="41"/>
      <c r="I21" s="56">
        <f t="shared" si="0"/>
        <v>6.7</v>
      </c>
      <c r="J21" s="1"/>
      <c r="K21" s="1"/>
      <c r="L21" s="1"/>
    </row>
    <row r="22" spans="1:12" ht="15.6" x14ac:dyDescent="0.3">
      <c r="A22" s="4">
        <v>21</v>
      </c>
      <c r="B22" s="11"/>
      <c r="C22" s="5"/>
      <c r="D22" s="5"/>
      <c r="E22" s="5"/>
      <c r="F22" s="5">
        <f>4+5</f>
        <v>9</v>
      </c>
      <c r="G22" s="5"/>
      <c r="H22" s="41"/>
      <c r="I22" s="56">
        <f t="shared" si="0"/>
        <v>9</v>
      </c>
      <c r="J22" s="1"/>
      <c r="K22" s="1"/>
      <c r="L22" s="1"/>
    </row>
    <row r="23" spans="1:12" ht="15.6" x14ac:dyDescent="0.3">
      <c r="A23" s="76">
        <v>22</v>
      </c>
      <c r="B23" s="11"/>
      <c r="C23" s="5"/>
      <c r="D23" s="5"/>
      <c r="E23" s="5"/>
      <c r="F23" s="5">
        <v>2.7</v>
      </c>
      <c r="G23" s="5"/>
      <c r="H23" s="41"/>
      <c r="I23" s="56">
        <f t="shared" si="0"/>
        <v>2.7</v>
      </c>
      <c r="J23" s="1"/>
      <c r="K23" s="1"/>
      <c r="L23" s="1"/>
    </row>
    <row r="24" spans="1:12" ht="15.6" x14ac:dyDescent="0.3">
      <c r="A24" s="25">
        <v>23</v>
      </c>
      <c r="B24" s="11"/>
      <c r="C24" s="5"/>
      <c r="D24" s="5"/>
      <c r="E24" s="5"/>
      <c r="F24" s="5">
        <f>2.7</f>
        <v>2.7</v>
      </c>
      <c r="G24" s="5"/>
      <c r="H24" s="41"/>
      <c r="I24" s="56">
        <f t="shared" si="0"/>
        <v>2.7</v>
      </c>
      <c r="J24" s="1"/>
      <c r="K24" s="1"/>
      <c r="L24" s="1"/>
    </row>
    <row r="25" spans="1:12" ht="15.6" x14ac:dyDescent="0.3">
      <c r="A25" s="25">
        <v>24</v>
      </c>
      <c r="B25" s="11">
        <v>15.5</v>
      </c>
      <c r="C25" s="5"/>
      <c r="D25" s="5"/>
      <c r="E25" s="5"/>
      <c r="F25" s="5">
        <v>64.5</v>
      </c>
      <c r="G25" s="5"/>
      <c r="H25" s="41" t="s">
        <v>44</v>
      </c>
      <c r="I25" s="56">
        <f t="shared" si="0"/>
        <v>80</v>
      </c>
      <c r="J25" s="1"/>
      <c r="K25" s="1"/>
      <c r="L25" s="1"/>
    </row>
    <row r="26" spans="1:12" ht="15.6" x14ac:dyDescent="0.3">
      <c r="A26" s="77">
        <v>25</v>
      </c>
      <c r="B26" s="11"/>
      <c r="C26" s="5"/>
      <c r="D26" s="5">
        <v>40</v>
      </c>
      <c r="E26" s="5"/>
      <c r="F26" s="5">
        <v>8.4</v>
      </c>
      <c r="G26" s="5"/>
      <c r="H26" s="41" t="s">
        <v>43</v>
      </c>
      <c r="I26" s="56">
        <f t="shared" si="0"/>
        <v>48.4</v>
      </c>
      <c r="J26" s="1"/>
      <c r="K26" s="1"/>
      <c r="L26" s="1"/>
    </row>
    <row r="27" spans="1:12" ht="15.6" x14ac:dyDescent="0.3">
      <c r="A27" s="25">
        <v>26</v>
      </c>
      <c r="B27" s="11"/>
      <c r="C27" s="5"/>
      <c r="D27" s="5"/>
      <c r="E27" s="5"/>
      <c r="F27" s="5">
        <v>1.7</v>
      </c>
      <c r="G27" s="5"/>
      <c r="H27" s="41"/>
      <c r="I27" s="56">
        <f t="shared" si="0"/>
        <v>1.7</v>
      </c>
      <c r="J27" s="1"/>
      <c r="K27" s="1"/>
      <c r="L27" s="1"/>
    </row>
    <row r="28" spans="1:12" ht="15.6" x14ac:dyDescent="0.3">
      <c r="A28" s="4">
        <v>27</v>
      </c>
      <c r="B28" s="11">
        <v>4.5</v>
      </c>
      <c r="C28" s="5"/>
      <c r="D28" s="5"/>
      <c r="E28" s="5"/>
      <c r="F28" s="5">
        <v>1.7</v>
      </c>
      <c r="G28" s="5"/>
      <c r="H28" s="41"/>
      <c r="I28" s="56">
        <f t="shared" si="0"/>
        <v>6.2</v>
      </c>
      <c r="J28" s="1"/>
      <c r="K28" s="1"/>
      <c r="L28" s="1"/>
    </row>
    <row r="29" spans="1:12" ht="15.6" x14ac:dyDescent="0.3">
      <c r="A29" s="4">
        <v>28</v>
      </c>
      <c r="B29" s="11"/>
      <c r="C29" s="5"/>
      <c r="D29" s="5"/>
      <c r="E29" s="5">
        <v>10</v>
      </c>
      <c r="F29" s="5">
        <v>1.2</v>
      </c>
      <c r="G29" s="5"/>
      <c r="H29" s="41"/>
      <c r="I29" s="56">
        <f t="shared" si="0"/>
        <v>11.2</v>
      </c>
      <c r="J29" s="1"/>
      <c r="K29" s="1"/>
      <c r="L29" s="1"/>
    </row>
    <row r="30" spans="1:12" ht="15.6" x14ac:dyDescent="0.3">
      <c r="A30" s="25">
        <v>29</v>
      </c>
      <c r="B30" s="11">
        <f>0.35+12.05</f>
        <v>12.4</v>
      </c>
      <c r="C30" s="5"/>
      <c r="D30" s="5"/>
      <c r="E30" s="5"/>
      <c r="F30" s="5"/>
      <c r="G30" s="5"/>
      <c r="H30" s="41"/>
      <c r="I30" s="56">
        <f t="shared" si="0"/>
        <v>12.4</v>
      </c>
      <c r="J30" s="1"/>
      <c r="K30" s="1"/>
      <c r="L30" s="1"/>
    </row>
    <row r="31" spans="1:12" ht="15.6" x14ac:dyDescent="0.3">
      <c r="A31" s="25">
        <v>30</v>
      </c>
      <c r="B31" s="11">
        <f>0.95+10.55</f>
        <v>11.5</v>
      </c>
      <c r="C31" s="5"/>
      <c r="D31" s="5"/>
      <c r="E31" s="5"/>
      <c r="F31" s="5"/>
      <c r="G31" s="5"/>
      <c r="H31" s="41" t="s">
        <v>45</v>
      </c>
      <c r="I31" s="56">
        <f t="shared" si="0"/>
        <v>11.5</v>
      </c>
      <c r="J31" s="1"/>
      <c r="K31" s="1"/>
      <c r="L31" s="1"/>
    </row>
    <row r="32" spans="1:12" ht="16.2" thickBot="1" x14ac:dyDescent="0.35">
      <c r="A32" s="36">
        <v>31</v>
      </c>
      <c r="B32" s="78"/>
      <c r="C32" s="79"/>
      <c r="D32" s="79"/>
      <c r="E32" s="79"/>
      <c r="F32" s="79"/>
      <c r="G32" s="79"/>
      <c r="H32" s="80"/>
      <c r="I32" s="81">
        <f t="shared" si="0"/>
        <v>0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85.19</v>
      </c>
      <c r="C33" s="49">
        <f>SUM(C2:C32)</f>
        <v>0</v>
      </c>
      <c r="D33" s="43">
        <f t="shared" ref="D33:H33" si="1">SUM(D2:D32)</f>
        <v>100</v>
      </c>
      <c r="E33" s="49">
        <f t="shared" si="1"/>
        <v>58.3</v>
      </c>
      <c r="F33" s="49">
        <f t="shared" si="1"/>
        <v>148.44999999999999</v>
      </c>
      <c r="G33" s="43">
        <f t="shared" si="1"/>
        <v>149.46</v>
      </c>
      <c r="H33" s="49">
        <f t="shared" si="1"/>
        <v>0</v>
      </c>
      <c r="I33" s="55">
        <f>SUM(I2:I32)</f>
        <v>541.4</v>
      </c>
    </row>
  </sheetData>
  <conditionalFormatting sqref="L16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D1" sqref="D1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250</v>
      </c>
    </row>
    <row r="2" spans="1:12" ht="16.2" thickBot="1" x14ac:dyDescent="0.35">
      <c r="A2" s="83">
        <v>1</v>
      </c>
      <c r="B2" s="53"/>
      <c r="C2" s="54"/>
      <c r="D2" s="10"/>
      <c r="E2" s="6"/>
      <c r="F2" s="6"/>
      <c r="G2" s="6"/>
      <c r="H2" s="40"/>
      <c r="I2" s="56">
        <f>SUM(B2:H2)</f>
        <v>0</v>
      </c>
      <c r="J2" s="1"/>
      <c r="K2" s="17" t="s">
        <v>12</v>
      </c>
      <c r="L2" s="24"/>
    </row>
    <row r="3" spans="1:12" ht="15.6" x14ac:dyDescent="0.3">
      <c r="A3" s="4">
        <v>2</v>
      </c>
      <c r="B3" s="11">
        <f>14.86-C3-G3</f>
        <v>11.51</v>
      </c>
      <c r="C3" s="6">
        <v>0.59</v>
      </c>
      <c r="D3" s="5"/>
      <c r="E3" s="5"/>
      <c r="F3" s="5"/>
      <c r="G3" s="5">
        <v>2.76</v>
      </c>
      <c r="H3" s="41" t="s">
        <v>54</v>
      </c>
      <c r="I3" s="56">
        <f t="shared" ref="I3:I32" si="0">SUM(B3:H3)</f>
        <v>14.86</v>
      </c>
      <c r="J3" s="1"/>
      <c r="K3" s="2"/>
      <c r="L3" s="1"/>
    </row>
    <row r="4" spans="1:12" ht="15.6" x14ac:dyDescent="0.3">
      <c r="A4" s="25">
        <v>3</v>
      </c>
      <c r="B4" s="11">
        <f>0.25+0.75</f>
        <v>1</v>
      </c>
      <c r="C4" s="5"/>
      <c r="D4" s="5"/>
      <c r="E4" s="5"/>
      <c r="F4" s="5">
        <v>13.61</v>
      </c>
      <c r="G4" s="5">
        <v>22.49</v>
      </c>
      <c r="H4" s="41" t="s">
        <v>55</v>
      </c>
      <c r="I4" s="56">
        <f t="shared" si="0"/>
        <v>37.099999999999994</v>
      </c>
      <c r="J4" s="1"/>
      <c r="K4" s="3"/>
      <c r="L4" s="1"/>
    </row>
    <row r="5" spans="1:12" ht="15.6" x14ac:dyDescent="0.3">
      <c r="A5" s="25">
        <v>4</v>
      </c>
      <c r="B5" s="11">
        <f t="shared" ref="B5:B7" si="1">0.25+0.45</f>
        <v>0.7</v>
      </c>
      <c r="C5" s="5"/>
      <c r="D5" s="5"/>
      <c r="E5" s="5"/>
      <c r="F5" s="5"/>
      <c r="G5" s="5"/>
      <c r="H5" s="41"/>
      <c r="I5" s="56">
        <f t="shared" si="0"/>
        <v>0.7</v>
      </c>
      <c r="J5" s="1"/>
      <c r="K5" s="3"/>
      <c r="L5" s="1"/>
    </row>
    <row r="6" spans="1:12" ht="15.6" x14ac:dyDescent="0.3">
      <c r="A6" s="25">
        <v>5</v>
      </c>
      <c r="B6" s="11">
        <f t="shared" si="1"/>
        <v>0.7</v>
      </c>
      <c r="C6" s="5"/>
      <c r="D6" s="5"/>
      <c r="E6" s="5"/>
      <c r="F6" s="5">
        <v>2</v>
      </c>
      <c r="G6" s="5" t="s">
        <v>53</v>
      </c>
      <c r="H6" s="41"/>
      <c r="I6" s="56">
        <f t="shared" si="0"/>
        <v>2.7</v>
      </c>
      <c r="J6" s="1"/>
      <c r="K6" s="3"/>
      <c r="L6" s="1"/>
    </row>
    <row r="7" spans="1:12" ht="15.6" x14ac:dyDescent="0.3">
      <c r="A7" s="25">
        <v>6</v>
      </c>
      <c r="B7" s="11">
        <f t="shared" si="1"/>
        <v>0.7</v>
      </c>
      <c r="C7" s="5"/>
      <c r="D7" s="5"/>
      <c r="E7" s="5"/>
      <c r="F7" s="5"/>
      <c r="G7" s="5"/>
      <c r="H7" s="41"/>
      <c r="I7" s="56">
        <f t="shared" si="0"/>
        <v>0.7</v>
      </c>
      <c r="J7" s="1"/>
      <c r="K7" s="3"/>
      <c r="L7" s="1"/>
    </row>
    <row r="8" spans="1:12" ht="15.6" x14ac:dyDescent="0.3">
      <c r="A8" s="25">
        <v>7</v>
      </c>
      <c r="B8" s="11">
        <f>0.25+0.45</f>
        <v>0.7</v>
      </c>
      <c r="C8" s="5"/>
      <c r="D8" s="5"/>
      <c r="E8" s="5">
        <v>10</v>
      </c>
      <c r="F8" s="5">
        <f>3+1+6.65</f>
        <v>10.65</v>
      </c>
      <c r="G8" s="5"/>
      <c r="H8" s="41" t="s">
        <v>56</v>
      </c>
      <c r="I8" s="56">
        <f t="shared" si="0"/>
        <v>21.35</v>
      </c>
      <c r="J8" s="1"/>
      <c r="K8" s="3"/>
      <c r="L8" s="1"/>
    </row>
    <row r="9" spans="1:12" ht="15.6" x14ac:dyDescent="0.3">
      <c r="A9" s="4">
        <v>8</v>
      </c>
      <c r="B9" s="11"/>
      <c r="C9" s="5"/>
      <c r="D9" s="5"/>
      <c r="E9" s="5"/>
      <c r="F9" s="5">
        <f>5.8+6+25</f>
        <v>36.799999999999997</v>
      </c>
      <c r="G9" s="5">
        <v>20</v>
      </c>
      <c r="H9" s="41" t="s">
        <v>58</v>
      </c>
      <c r="I9" s="56">
        <f t="shared" si="0"/>
        <v>56.8</v>
      </c>
      <c r="J9" s="1"/>
      <c r="K9" s="3"/>
      <c r="L9" s="1"/>
    </row>
    <row r="10" spans="1:12" ht="15.6" x14ac:dyDescent="0.3">
      <c r="A10" s="4">
        <v>9</v>
      </c>
      <c r="B10" s="11"/>
      <c r="C10" s="5"/>
      <c r="D10" s="5"/>
      <c r="E10" s="5"/>
      <c r="F10" s="5">
        <f>1.8+4</f>
        <v>5.8</v>
      </c>
      <c r="G10" s="5"/>
      <c r="H10" s="41"/>
      <c r="I10" s="56">
        <f t="shared" si="0"/>
        <v>5.8</v>
      </c>
      <c r="J10" s="1"/>
      <c r="K10" s="3"/>
      <c r="L10" s="1"/>
    </row>
    <row r="11" spans="1:12" ht="15.6" x14ac:dyDescent="0.3">
      <c r="A11" s="25">
        <v>10</v>
      </c>
      <c r="B11" s="11"/>
      <c r="C11" s="5"/>
      <c r="D11" s="5">
        <v>50</v>
      </c>
      <c r="E11" s="5">
        <v>10</v>
      </c>
      <c r="F11" s="5">
        <v>1.3</v>
      </c>
      <c r="G11" s="5">
        <v>4.5</v>
      </c>
      <c r="H11" s="41" t="s">
        <v>57</v>
      </c>
      <c r="I11" s="56">
        <f>SUM(B11:H11)</f>
        <v>65.8</v>
      </c>
      <c r="J11" s="1"/>
      <c r="K11" s="3"/>
      <c r="L11" s="1"/>
    </row>
    <row r="12" spans="1:12" ht="16.2" thickBot="1" x14ac:dyDescent="0.35">
      <c r="A12" s="25">
        <v>11</v>
      </c>
      <c r="B12" s="11">
        <f>0.25+0.9+3.88</f>
        <v>5.0299999999999994</v>
      </c>
      <c r="C12" s="5"/>
      <c r="D12" s="5"/>
      <c r="E12" s="5"/>
      <c r="F12" s="5"/>
      <c r="G12" s="5"/>
      <c r="H12" s="41"/>
      <c r="I12" s="56">
        <f t="shared" si="0"/>
        <v>5.0299999999999994</v>
      </c>
      <c r="J12" s="1"/>
      <c r="K12" s="3"/>
      <c r="L12" s="1"/>
    </row>
    <row r="13" spans="1:12" ht="15.6" x14ac:dyDescent="0.3">
      <c r="A13" s="25">
        <v>12</v>
      </c>
      <c r="B13" s="11">
        <f>0.25+0.9</f>
        <v>1.1499999999999999</v>
      </c>
      <c r="C13" s="5"/>
      <c r="D13" s="5"/>
      <c r="E13" s="5"/>
      <c r="F13" s="5"/>
      <c r="G13" s="5"/>
      <c r="H13" s="41"/>
      <c r="I13" s="56">
        <f t="shared" si="0"/>
        <v>1.1499999999999999</v>
      </c>
      <c r="J13" s="1"/>
      <c r="K13" s="16" t="s">
        <v>8</v>
      </c>
      <c r="L13" s="29">
        <v>916.5</v>
      </c>
    </row>
    <row r="14" spans="1:12" ht="15.6" x14ac:dyDescent="0.3">
      <c r="A14" s="25">
        <v>13</v>
      </c>
      <c r="B14" s="11">
        <f>0.25+0.9</f>
        <v>1.1499999999999999</v>
      </c>
      <c r="C14" s="5"/>
      <c r="D14" s="5"/>
      <c r="E14" s="5"/>
      <c r="F14" s="5"/>
      <c r="G14" s="5"/>
      <c r="H14" s="41"/>
      <c r="I14" s="56">
        <f t="shared" si="0"/>
        <v>1.1499999999999999</v>
      </c>
      <c r="J14" s="1"/>
      <c r="K14" s="22" t="s">
        <v>9</v>
      </c>
      <c r="L14" s="28">
        <f>SUM(B33:H33)+L1+L2</f>
        <v>792.8</v>
      </c>
    </row>
    <row r="15" spans="1:12" ht="15.6" x14ac:dyDescent="0.3">
      <c r="A15" s="25">
        <v>14</v>
      </c>
      <c r="B15" s="11">
        <f>0.25+1.15</f>
        <v>1.4</v>
      </c>
      <c r="C15" s="5"/>
      <c r="D15" s="5"/>
      <c r="E15" s="5"/>
      <c r="F15" s="5">
        <v>6.55</v>
      </c>
      <c r="G15" s="5"/>
      <c r="H15" s="41" t="s">
        <v>56</v>
      </c>
      <c r="I15" s="56">
        <f t="shared" si="0"/>
        <v>7.9499999999999993</v>
      </c>
      <c r="J15" s="1"/>
      <c r="K15" s="20"/>
      <c r="L15" s="19"/>
    </row>
    <row r="16" spans="1:12" ht="16.2" thickBot="1" x14ac:dyDescent="0.35">
      <c r="A16" s="4">
        <v>15</v>
      </c>
      <c r="B16" s="11">
        <f>1.15+0.25</f>
        <v>1.4</v>
      </c>
      <c r="C16" s="5"/>
      <c r="D16" s="5"/>
      <c r="E16" s="5"/>
      <c r="F16" s="5"/>
      <c r="G16" s="5"/>
      <c r="H16" s="41"/>
      <c r="I16" s="56">
        <f t="shared" si="0"/>
        <v>1.4</v>
      </c>
      <c r="J16" s="1"/>
      <c r="K16" s="21" t="s">
        <v>10</v>
      </c>
      <c r="L16" s="18">
        <f>L13-L14</f>
        <v>123.70000000000005</v>
      </c>
    </row>
    <row r="17" spans="1:12" ht="15.6" x14ac:dyDescent="0.3">
      <c r="A17" s="4">
        <v>16</v>
      </c>
      <c r="B17" s="11"/>
      <c r="C17" s="5"/>
      <c r="D17" s="5"/>
      <c r="E17" s="5"/>
      <c r="F17" s="5"/>
      <c r="G17" s="5"/>
      <c r="H17" s="41"/>
      <c r="I17" s="56">
        <f t="shared" si="0"/>
        <v>0</v>
      </c>
      <c r="J17" s="1"/>
      <c r="K17" s="1"/>
      <c r="L17" s="1"/>
    </row>
    <row r="18" spans="1:12" ht="15.6" x14ac:dyDescent="0.3">
      <c r="A18" s="25">
        <v>17</v>
      </c>
      <c r="B18" s="11">
        <f t="shared" ref="B18:B19" si="2">1.15+0.25</f>
        <v>1.4</v>
      </c>
      <c r="C18" s="5"/>
      <c r="D18" s="5"/>
      <c r="E18" s="5"/>
      <c r="F18" s="5"/>
      <c r="G18" s="5"/>
      <c r="H18" s="41"/>
      <c r="I18" s="56">
        <f t="shared" si="0"/>
        <v>1.4</v>
      </c>
      <c r="J18" s="1"/>
      <c r="K18" s="1"/>
      <c r="L18" s="1"/>
    </row>
    <row r="19" spans="1:12" ht="15.6" x14ac:dyDescent="0.3">
      <c r="A19" s="25">
        <v>18</v>
      </c>
      <c r="B19" s="11">
        <f t="shared" si="2"/>
        <v>1.4</v>
      </c>
      <c r="C19" s="5"/>
      <c r="D19" s="5"/>
      <c r="E19" s="5"/>
      <c r="F19" s="5"/>
      <c r="G19" s="5"/>
      <c r="H19" s="41"/>
      <c r="I19" s="56">
        <f t="shared" si="0"/>
        <v>1.4</v>
      </c>
      <c r="J19" s="1"/>
      <c r="K19" s="1"/>
      <c r="L19" s="1"/>
    </row>
    <row r="20" spans="1:12" ht="15.6" x14ac:dyDescent="0.3">
      <c r="A20" s="25">
        <v>19</v>
      </c>
      <c r="B20" s="11">
        <f>1.15+0.25</f>
        <v>1.4</v>
      </c>
      <c r="C20" s="5"/>
      <c r="D20" s="5"/>
      <c r="E20" s="5">
        <v>9.8000000000000007</v>
      </c>
      <c r="F20" s="5"/>
      <c r="G20" s="5">
        <v>50</v>
      </c>
      <c r="H20" s="41" t="s">
        <v>23</v>
      </c>
      <c r="I20" s="56">
        <f t="shared" si="0"/>
        <v>61.2</v>
      </c>
      <c r="J20" s="1"/>
      <c r="K20" s="1"/>
      <c r="L20" s="1"/>
    </row>
    <row r="21" spans="1:12" ht="15.6" x14ac:dyDescent="0.3">
      <c r="A21" s="25">
        <v>20</v>
      </c>
      <c r="B21" s="11"/>
      <c r="C21" s="5"/>
      <c r="D21" s="5"/>
      <c r="E21" s="5"/>
      <c r="F21" s="5">
        <f>1.7+1.7</f>
        <v>3.4</v>
      </c>
      <c r="G21" s="5"/>
      <c r="H21" s="41"/>
      <c r="I21" s="56">
        <f t="shared" si="0"/>
        <v>3.4</v>
      </c>
      <c r="J21" s="1"/>
      <c r="K21" s="1"/>
      <c r="L21" s="1"/>
    </row>
    <row r="22" spans="1:12" ht="15.6" x14ac:dyDescent="0.3">
      <c r="A22" s="25">
        <v>21</v>
      </c>
      <c r="B22" s="11"/>
      <c r="C22" s="5"/>
      <c r="D22" s="5"/>
      <c r="E22" s="5"/>
      <c r="F22" s="5">
        <f>1.7+1.7+10</f>
        <v>13.4</v>
      </c>
      <c r="G22" s="5">
        <v>20</v>
      </c>
      <c r="H22" s="41" t="s">
        <v>60</v>
      </c>
      <c r="I22" s="56">
        <f t="shared" si="0"/>
        <v>33.4</v>
      </c>
      <c r="J22" s="1"/>
      <c r="K22" s="1"/>
      <c r="L22" s="1"/>
    </row>
    <row r="23" spans="1:12" ht="15.6" x14ac:dyDescent="0.3">
      <c r="A23" s="4">
        <v>22</v>
      </c>
      <c r="B23" s="11">
        <v>4.5</v>
      </c>
      <c r="C23" s="5"/>
      <c r="D23" s="5"/>
      <c r="E23" s="5"/>
      <c r="F23" s="5">
        <f>25</f>
        <v>25</v>
      </c>
      <c r="G23" s="5"/>
      <c r="H23" s="41"/>
      <c r="I23" s="56">
        <f t="shared" si="0"/>
        <v>29.5</v>
      </c>
      <c r="J23" s="1"/>
      <c r="K23" s="1"/>
      <c r="L23" s="1"/>
    </row>
    <row r="24" spans="1:12" ht="15.6" x14ac:dyDescent="0.3">
      <c r="A24" s="4">
        <v>23</v>
      </c>
      <c r="B24" s="11"/>
      <c r="C24" s="5"/>
      <c r="D24" s="5"/>
      <c r="E24" s="5"/>
      <c r="F24" s="5">
        <v>30</v>
      </c>
      <c r="G24" s="5">
        <v>93</v>
      </c>
      <c r="H24" s="41" t="s">
        <v>59</v>
      </c>
      <c r="I24" s="56">
        <f t="shared" si="0"/>
        <v>123</v>
      </c>
      <c r="J24" s="1"/>
      <c r="K24" s="1"/>
      <c r="L24" s="1"/>
    </row>
    <row r="25" spans="1:12" ht="15.6" x14ac:dyDescent="0.3">
      <c r="A25" s="25">
        <v>24</v>
      </c>
      <c r="B25" s="11"/>
      <c r="C25" s="5"/>
      <c r="D25" s="5"/>
      <c r="E25" s="5">
        <f>13.5+5</f>
        <v>18.5</v>
      </c>
      <c r="F25" s="5"/>
      <c r="G25" s="5"/>
      <c r="H25" s="41"/>
      <c r="I25" s="56">
        <f t="shared" si="0"/>
        <v>18.5</v>
      </c>
      <c r="J25" s="1"/>
      <c r="K25" s="1"/>
      <c r="L25" s="1"/>
    </row>
    <row r="26" spans="1:12" ht="15.6" x14ac:dyDescent="0.3">
      <c r="A26" s="25">
        <v>25</v>
      </c>
      <c r="B26" s="11">
        <f>0.25+1.6+4.97</f>
        <v>6.82</v>
      </c>
      <c r="C26" s="5"/>
      <c r="D26" s="5"/>
      <c r="E26" s="5"/>
      <c r="F26" s="5"/>
      <c r="G26" s="5">
        <v>6.2</v>
      </c>
      <c r="H26" s="41" t="s">
        <v>61</v>
      </c>
      <c r="I26" s="56">
        <f t="shared" si="0"/>
        <v>13.02</v>
      </c>
      <c r="J26" s="1"/>
      <c r="K26" s="1"/>
      <c r="L26" s="1"/>
    </row>
    <row r="27" spans="1:12" ht="15.6" x14ac:dyDescent="0.3">
      <c r="A27" s="25">
        <v>26</v>
      </c>
      <c r="B27" s="11">
        <f>1.15+0.25</f>
        <v>1.4</v>
      </c>
      <c r="C27" s="5"/>
      <c r="D27" s="5"/>
      <c r="E27" s="5"/>
      <c r="F27" s="5"/>
      <c r="G27" s="5"/>
      <c r="H27" s="41"/>
      <c r="I27" s="56">
        <f t="shared" si="0"/>
        <v>1.4</v>
      </c>
      <c r="J27" s="1"/>
      <c r="K27" s="1"/>
      <c r="L27" s="1"/>
    </row>
    <row r="28" spans="1:12" ht="15.6" x14ac:dyDescent="0.3">
      <c r="A28" s="25">
        <v>27</v>
      </c>
      <c r="B28" s="11">
        <f>1.15+0.25</f>
        <v>1.4</v>
      </c>
      <c r="C28" s="5"/>
      <c r="D28" s="5"/>
      <c r="E28" s="5"/>
      <c r="F28" s="5"/>
      <c r="G28" s="5">
        <v>0</v>
      </c>
      <c r="H28" s="41" t="s">
        <v>62</v>
      </c>
      <c r="I28" s="56">
        <f t="shared" si="0"/>
        <v>1.4</v>
      </c>
      <c r="J28" s="1"/>
      <c r="K28" s="1"/>
      <c r="L28" s="1"/>
    </row>
    <row r="29" spans="1:12" ht="15.6" x14ac:dyDescent="0.3">
      <c r="A29" s="25">
        <v>28</v>
      </c>
      <c r="B29" s="11">
        <f>1.15+0.25</f>
        <v>1.4</v>
      </c>
      <c r="C29" s="5"/>
      <c r="D29" s="5"/>
      <c r="E29" s="5"/>
      <c r="F29" s="5">
        <f>4+7</f>
        <v>11</v>
      </c>
      <c r="G29" s="5"/>
      <c r="H29" s="41"/>
      <c r="I29" s="56">
        <f t="shared" si="0"/>
        <v>12.4</v>
      </c>
      <c r="J29" s="1"/>
      <c r="K29" s="1"/>
      <c r="L29" s="1"/>
    </row>
    <row r="30" spans="1:12" ht="15.6" x14ac:dyDescent="0.3">
      <c r="A30" s="4">
        <v>29</v>
      </c>
      <c r="B30" s="11">
        <v>20.29</v>
      </c>
      <c r="C30" s="5"/>
      <c r="D30" s="5"/>
      <c r="E30" s="5"/>
      <c r="F30" s="5"/>
      <c r="G30" s="5"/>
      <c r="H30" s="41"/>
      <c r="I30" s="56">
        <f t="shared" si="0"/>
        <v>20.29</v>
      </c>
      <c r="J30" s="1"/>
      <c r="K30" s="1"/>
      <c r="L30" s="1"/>
    </row>
    <row r="31" spans="1:12" ht="15.6" x14ac:dyDescent="0.3">
      <c r="A31" s="4">
        <v>30</v>
      </c>
      <c r="B31" s="11"/>
      <c r="C31" s="5"/>
      <c r="D31" s="5"/>
      <c r="E31" s="5"/>
      <c r="F31" s="5"/>
      <c r="G31" s="5"/>
      <c r="H31" s="41"/>
      <c r="I31" s="56">
        <f t="shared" si="0"/>
        <v>0</v>
      </c>
      <c r="J31" s="1"/>
      <c r="K31" s="1"/>
      <c r="L31" s="1"/>
    </row>
    <row r="32" spans="1:12" ht="16.2" thickBot="1" x14ac:dyDescent="0.35">
      <c r="A32" s="36">
        <v>31</v>
      </c>
      <c r="B32" s="78"/>
      <c r="C32" s="79"/>
      <c r="D32" s="79"/>
      <c r="E32" s="79"/>
      <c r="F32" s="79"/>
      <c r="G32" s="79"/>
      <c r="H32" s="80"/>
      <c r="I32" s="81">
        <f t="shared" si="0"/>
        <v>0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65.449999999999989</v>
      </c>
      <c r="C33" s="49">
        <f>SUM(C2:C32)</f>
        <v>0.59</v>
      </c>
      <c r="D33" s="43">
        <f t="shared" ref="D33:H33" si="3">SUM(D2:D32)</f>
        <v>50</v>
      </c>
      <c r="E33" s="49">
        <f t="shared" si="3"/>
        <v>48.3</v>
      </c>
      <c r="F33" s="49">
        <f t="shared" si="3"/>
        <v>159.51</v>
      </c>
      <c r="G33" s="43">
        <f t="shared" si="3"/>
        <v>218.95</v>
      </c>
      <c r="H33" s="49">
        <f t="shared" si="3"/>
        <v>0</v>
      </c>
      <c r="I33" s="55">
        <f>SUM(I2:I32)</f>
        <v>542.79999999999984</v>
      </c>
    </row>
  </sheetData>
  <conditionalFormatting sqref="L1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L6" sqref="L6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3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f>56.5+217</f>
        <v>273.5</v>
      </c>
    </row>
    <row r="2" spans="1:13" ht="16.2" thickBot="1" x14ac:dyDescent="0.35">
      <c r="A2" s="26">
        <v>1</v>
      </c>
      <c r="B2" s="53">
        <f>0.25</f>
        <v>0.25</v>
      </c>
      <c r="C2" s="90"/>
      <c r="D2" s="10"/>
      <c r="E2" s="6"/>
      <c r="F2" s="6">
        <v>1.1000000000000001</v>
      </c>
      <c r="G2" s="6"/>
      <c r="H2" s="40"/>
      <c r="I2" s="56">
        <f>SUM(B2:H2)</f>
        <v>1.35</v>
      </c>
      <c r="J2" s="1"/>
      <c r="K2" s="17" t="s">
        <v>64</v>
      </c>
      <c r="L2" s="24">
        <v>0</v>
      </c>
    </row>
    <row r="3" spans="1:13" ht="16.2" thickBot="1" x14ac:dyDescent="0.35">
      <c r="A3" s="25">
        <v>2</v>
      </c>
      <c r="B3" s="11">
        <f>0.25+1.15</f>
        <v>1.4</v>
      </c>
      <c r="C3" s="6"/>
      <c r="D3" s="5"/>
      <c r="E3" s="5"/>
      <c r="F3" s="5"/>
      <c r="G3" s="5"/>
      <c r="H3" s="41"/>
      <c r="I3" s="56">
        <f t="shared" ref="I3:I32" si="0">SUM(B3:H3)</f>
        <v>1.4</v>
      </c>
      <c r="J3" s="1"/>
      <c r="K3" s="17" t="s">
        <v>12</v>
      </c>
      <c r="L3" s="24"/>
    </row>
    <row r="4" spans="1:13" ht="15.6" x14ac:dyDescent="0.3">
      <c r="A4" s="25">
        <v>3</v>
      </c>
      <c r="B4" s="11">
        <f>0.25+1.15</f>
        <v>1.4</v>
      </c>
      <c r="C4" s="5"/>
      <c r="D4" s="5"/>
      <c r="E4" s="5"/>
      <c r="F4" s="5"/>
      <c r="G4" s="5"/>
      <c r="H4" s="41"/>
      <c r="I4" s="56">
        <f t="shared" si="0"/>
        <v>1.4</v>
      </c>
      <c r="J4" s="1"/>
      <c r="K4" s="3"/>
      <c r="L4" s="1"/>
    </row>
    <row r="5" spans="1:13" ht="15.6" x14ac:dyDescent="0.3">
      <c r="A5" s="25">
        <v>4</v>
      </c>
      <c r="B5" s="11">
        <f>1.4</f>
        <v>1.4</v>
      </c>
      <c r="C5" s="5"/>
      <c r="D5" s="5"/>
      <c r="E5" s="5"/>
      <c r="F5" s="5">
        <f>2+19.5+3.5</f>
        <v>25</v>
      </c>
      <c r="G5" s="5"/>
      <c r="H5" s="41" t="s">
        <v>66</v>
      </c>
      <c r="I5" s="56">
        <f t="shared" si="0"/>
        <v>26.4</v>
      </c>
      <c r="J5" s="1"/>
      <c r="K5" s="3"/>
      <c r="L5" s="1"/>
    </row>
    <row r="6" spans="1:13" ht="15.6" x14ac:dyDescent="0.3">
      <c r="A6" s="25">
        <v>5</v>
      </c>
      <c r="B6" s="11">
        <f>1.4</f>
        <v>1.4</v>
      </c>
      <c r="C6" s="5"/>
      <c r="D6" s="5"/>
      <c r="E6" s="5"/>
      <c r="F6" s="5"/>
      <c r="G6" s="5"/>
      <c r="H6" s="41"/>
      <c r="I6" s="56">
        <f t="shared" si="0"/>
        <v>1.4</v>
      </c>
      <c r="J6" s="1"/>
      <c r="K6" s="3"/>
      <c r="L6" s="1"/>
    </row>
    <row r="7" spans="1:13" ht="15.6" x14ac:dyDescent="0.3">
      <c r="A7" s="89">
        <v>6</v>
      </c>
      <c r="B7" s="11"/>
      <c r="C7" s="5"/>
      <c r="D7" s="5"/>
      <c r="E7" s="5"/>
      <c r="F7" s="5"/>
      <c r="G7" s="5">
        <f>105</f>
        <v>105</v>
      </c>
      <c r="H7" s="41" t="s">
        <v>65</v>
      </c>
      <c r="I7" s="56">
        <f t="shared" si="0"/>
        <v>105</v>
      </c>
      <c r="J7" s="1"/>
      <c r="K7" s="3"/>
      <c r="L7" s="1"/>
    </row>
    <row r="8" spans="1:13" ht="15.6" x14ac:dyDescent="0.3">
      <c r="A8" s="89">
        <v>7</v>
      </c>
      <c r="B8" s="11">
        <f>0.77+1.59+1.39</f>
        <v>3.75</v>
      </c>
      <c r="C8" s="5">
        <f>13.1-B8</f>
        <v>9.35</v>
      </c>
      <c r="D8" s="5"/>
      <c r="E8" s="5"/>
      <c r="F8" s="5"/>
      <c r="G8" s="5"/>
      <c r="H8" s="41"/>
      <c r="I8" s="56">
        <f t="shared" si="0"/>
        <v>13.1</v>
      </c>
      <c r="J8" s="1"/>
      <c r="K8" s="3"/>
      <c r="L8" s="1"/>
    </row>
    <row r="9" spans="1:13" ht="15.6" x14ac:dyDescent="0.3">
      <c r="A9" s="25">
        <v>8</v>
      </c>
      <c r="B9" s="11">
        <f>0.25+1.6</f>
        <v>1.85</v>
      </c>
      <c r="C9" s="5"/>
      <c r="D9" s="5"/>
      <c r="E9" s="5"/>
      <c r="F9" s="5"/>
      <c r="G9" s="5"/>
      <c r="H9" s="41"/>
      <c r="I9" s="56">
        <f t="shared" si="0"/>
        <v>1.85</v>
      </c>
      <c r="J9" s="1"/>
      <c r="K9" s="3"/>
      <c r="L9" s="1"/>
    </row>
    <row r="10" spans="1:13" ht="15.6" x14ac:dyDescent="0.3">
      <c r="A10" s="25">
        <v>9</v>
      </c>
      <c r="B10" s="11">
        <f>0.25+1.15</f>
        <v>1.4</v>
      </c>
      <c r="C10" s="5"/>
      <c r="D10" s="5"/>
      <c r="E10" s="5"/>
      <c r="F10" s="5"/>
      <c r="G10" s="5"/>
      <c r="H10" s="41"/>
      <c r="I10" s="56">
        <f t="shared" si="0"/>
        <v>1.4</v>
      </c>
      <c r="J10" s="1"/>
      <c r="K10" s="3"/>
      <c r="L10" s="1"/>
    </row>
    <row r="11" spans="1:13" ht="15.6" x14ac:dyDescent="0.3">
      <c r="A11" s="25">
        <v>10</v>
      </c>
      <c r="B11" s="11">
        <f>B10+0.8</f>
        <v>2.2000000000000002</v>
      </c>
      <c r="C11" s="5"/>
      <c r="D11" s="5"/>
      <c r="E11" s="5"/>
      <c r="F11" s="5"/>
      <c r="G11" s="5"/>
      <c r="H11" s="41"/>
      <c r="I11" s="56">
        <f t="shared" si="0"/>
        <v>2.2000000000000002</v>
      </c>
      <c r="J11" s="1"/>
      <c r="K11" s="3"/>
      <c r="L11" s="1"/>
    </row>
    <row r="12" spans="1:13" ht="16.2" thickBot="1" x14ac:dyDescent="0.35">
      <c r="A12" s="25">
        <v>11</v>
      </c>
      <c r="B12" s="11">
        <f>1.6+0.7</f>
        <v>2.2999999999999998</v>
      </c>
      <c r="C12" s="5"/>
      <c r="D12" s="5">
        <v>20</v>
      </c>
      <c r="E12" s="5"/>
      <c r="F12" s="5"/>
      <c r="G12" s="5"/>
      <c r="H12" s="41"/>
      <c r="I12" s="56">
        <f t="shared" si="0"/>
        <v>22.3</v>
      </c>
      <c r="J12" s="1"/>
      <c r="K12" s="3"/>
      <c r="L12" s="1"/>
    </row>
    <row r="13" spans="1:13" ht="15.6" x14ac:dyDescent="0.3">
      <c r="A13" s="25">
        <v>12</v>
      </c>
      <c r="B13" s="11">
        <f>0.25+1.15+6.55</f>
        <v>7.9499999999999993</v>
      </c>
      <c r="C13" s="5"/>
      <c r="D13" s="5"/>
      <c r="E13" s="5">
        <v>10</v>
      </c>
      <c r="F13" s="5">
        <f>2+2</f>
        <v>4</v>
      </c>
      <c r="G13" s="5"/>
      <c r="H13" s="41" t="s">
        <v>56</v>
      </c>
      <c r="I13" s="56">
        <f t="shared" si="0"/>
        <v>21.95</v>
      </c>
      <c r="J13" s="1"/>
      <c r="K13" s="16" t="s">
        <v>8</v>
      </c>
      <c r="L13" s="29">
        <v>1842.15</v>
      </c>
      <c r="M13" t="s">
        <v>70</v>
      </c>
    </row>
    <row r="14" spans="1:13" ht="15.6" x14ac:dyDescent="0.3">
      <c r="A14" s="89">
        <v>13</v>
      </c>
      <c r="B14" s="11"/>
      <c r="C14" s="5"/>
      <c r="D14" s="5"/>
      <c r="E14" s="5"/>
      <c r="F14" s="5">
        <v>13</v>
      </c>
      <c r="G14" s="5"/>
      <c r="H14" s="41"/>
      <c r="I14" s="56">
        <f t="shared" si="0"/>
        <v>13</v>
      </c>
      <c r="J14" s="1"/>
      <c r="K14" s="22" t="s">
        <v>9</v>
      </c>
      <c r="L14" s="28">
        <f>SUM(B33:H33)+L1+L2+L3</f>
        <v>784.82999999999993</v>
      </c>
    </row>
    <row r="15" spans="1:13" ht="15.6" x14ac:dyDescent="0.3">
      <c r="A15" s="89">
        <v>14</v>
      </c>
      <c r="B15" s="11"/>
      <c r="C15" s="5"/>
      <c r="D15" s="5">
        <v>30</v>
      </c>
      <c r="E15" s="5">
        <v>10</v>
      </c>
      <c r="F15" s="5"/>
      <c r="G15" s="5"/>
      <c r="H15" s="41"/>
      <c r="I15" s="56">
        <f t="shared" si="0"/>
        <v>40</v>
      </c>
      <c r="J15" s="1"/>
      <c r="K15" s="20"/>
      <c r="L15" s="19"/>
    </row>
    <row r="16" spans="1:13" ht="16.2" thickBot="1" x14ac:dyDescent="0.35">
      <c r="A16" s="25">
        <v>15</v>
      </c>
      <c r="B16" s="11">
        <f>1.15+0.25+0.7</f>
        <v>2.0999999999999996</v>
      </c>
      <c r="C16" s="5"/>
      <c r="D16" s="5"/>
      <c r="E16" s="5"/>
      <c r="F16" s="5"/>
      <c r="G16" s="5"/>
      <c r="H16" s="41"/>
      <c r="I16" s="56">
        <f t="shared" si="0"/>
        <v>2.0999999999999996</v>
      </c>
      <c r="J16" s="1"/>
      <c r="K16" s="21" t="s">
        <v>10</v>
      </c>
      <c r="L16" s="18">
        <f>L13-L14</f>
        <v>1057.3200000000002</v>
      </c>
    </row>
    <row r="17" spans="1:12" ht="15.6" x14ac:dyDescent="0.3">
      <c r="A17" s="25">
        <v>16</v>
      </c>
      <c r="B17" s="11">
        <f>B16+(15.81-C17-G17)</f>
        <v>11.97</v>
      </c>
      <c r="C17" s="5">
        <v>1.95</v>
      </c>
      <c r="D17" s="5"/>
      <c r="E17" s="5"/>
      <c r="F17" s="5"/>
      <c r="G17" s="5">
        <v>3.99</v>
      </c>
      <c r="H17" s="41" t="s">
        <v>67</v>
      </c>
      <c r="I17" s="56">
        <f t="shared" si="0"/>
        <v>17.91</v>
      </c>
      <c r="J17" s="1"/>
      <c r="K17" s="1"/>
      <c r="L17" s="1"/>
    </row>
    <row r="18" spans="1:12" ht="15.6" x14ac:dyDescent="0.3">
      <c r="A18" s="25">
        <v>17</v>
      </c>
      <c r="B18" s="11">
        <f>0.25+1.15</f>
        <v>1.4</v>
      </c>
      <c r="C18" s="5"/>
      <c r="D18" s="5"/>
      <c r="E18" s="5"/>
      <c r="F18" s="5"/>
      <c r="G18" s="5">
        <v>50</v>
      </c>
      <c r="H18" s="41" t="s">
        <v>23</v>
      </c>
      <c r="I18" s="56">
        <f t="shared" si="0"/>
        <v>51.4</v>
      </c>
      <c r="J18" s="1"/>
      <c r="K18" s="1"/>
      <c r="L18" s="1"/>
    </row>
    <row r="19" spans="1:12" ht="15.6" x14ac:dyDescent="0.3">
      <c r="A19" s="25">
        <v>18</v>
      </c>
      <c r="B19" s="11">
        <f>1.4</f>
        <v>1.4</v>
      </c>
      <c r="C19" s="5"/>
      <c r="D19" s="5"/>
      <c r="E19" s="5"/>
      <c r="F19" s="5"/>
      <c r="G19" s="5"/>
      <c r="H19" s="41"/>
      <c r="I19" s="56">
        <f t="shared" si="0"/>
        <v>1.4</v>
      </c>
      <c r="J19" s="1"/>
      <c r="K19" s="1"/>
      <c r="L19" s="1"/>
    </row>
    <row r="20" spans="1:12" ht="15.6" x14ac:dyDescent="0.3">
      <c r="A20" s="25">
        <v>19</v>
      </c>
      <c r="B20" s="11">
        <f>1.4</f>
        <v>1.4</v>
      </c>
      <c r="C20" s="5"/>
      <c r="D20" s="5"/>
      <c r="E20" s="5"/>
      <c r="F20" s="5">
        <f>24.5+6+3</f>
        <v>33.5</v>
      </c>
      <c r="G20" s="5"/>
      <c r="H20" s="41" t="s">
        <v>68</v>
      </c>
      <c r="I20" s="56">
        <f t="shared" si="0"/>
        <v>34.9</v>
      </c>
      <c r="J20" s="1"/>
      <c r="K20" s="1"/>
      <c r="L20" s="1"/>
    </row>
    <row r="21" spans="1:12" ht="15.6" x14ac:dyDescent="0.3">
      <c r="A21" s="89">
        <v>20</v>
      </c>
      <c r="B21" s="11">
        <v>13.92</v>
      </c>
      <c r="C21" s="5"/>
      <c r="D21" s="5">
        <v>16</v>
      </c>
      <c r="E21" s="5"/>
      <c r="F21" s="5">
        <v>2.8</v>
      </c>
      <c r="G21" s="5"/>
      <c r="H21" s="41"/>
      <c r="I21" s="56">
        <f t="shared" si="0"/>
        <v>32.72</v>
      </c>
      <c r="J21" s="1"/>
      <c r="K21" s="1"/>
      <c r="L21" s="1"/>
    </row>
    <row r="22" spans="1:12" ht="15.6" x14ac:dyDescent="0.3">
      <c r="A22" s="89">
        <v>21</v>
      </c>
      <c r="B22" s="11"/>
      <c r="C22" s="5"/>
      <c r="D22" s="5"/>
      <c r="E22" s="5"/>
      <c r="F22" s="5">
        <v>20</v>
      </c>
      <c r="G22" s="5">
        <v>2.2000000000000002</v>
      </c>
      <c r="H22" s="41" t="s">
        <v>69</v>
      </c>
      <c r="I22" s="56">
        <f t="shared" si="0"/>
        <v>22.2</v>
      </c>
      <c r="J22" s="1"/>
      <c r="K22" s="1"/>
      <c r="L22" s="1"/>
    </row>
    <row r="23" spans="1:12" ht="15.6" x14ac:dyDescent="0.3">
      <c r="A23" s="25">
        <v>22</v>
      </c>
      <c r="B23" s="11">
        <f>0.25+0.7+1.15</f>
        <v>2.0999999999999996</v>
      </c>
      <c r="C23" s="5"/>
      <c r="D23" s="5"/>
      <c r="E23" s="5"/>
      <c r="F23" s="5"/>
      <c r="G23" s="5"/>
      <c r="H23" s="41"/>
      <c r="I23" s="56">
        <f t="shared" si="0"/>
        <v>2.0999999999999996</v>
      </c>
      <c r="J23" s="1"/>
      <c r="K23" s="1"/>
      <c r="L23" s="1"/>
    </row>
    <row r="24" spans="1:12" ht="15.6" x14ac:dyDescent="0.3">
      <c r="A24" s="25">
        <v>23</v>
      </c>
      <c r="B24" s="11">
        <f>0.25+0.7+1.6</f>
        <v>2.5499999999999998</v>
      </c>
      <c r="C24" s="5"/>
      <c r="D24" s="5"/>
      <c r="E24" s="5"/>
      <c r="F24" s="5"/>
      <c r="G24" s="5"/>
      <c r="H24" s="41"/>
      <c r="I24" s="56">
        <f t="shared" si="0"/>
        <v>2.5499999999999998</v>
      </c>
      <c r="J24" s="1"/>
      <c r="K24" s="1"/>
      <c r="L24" s="1"/>
    </row>
    <row r="25" spans="1:12" ht="15.6" x14ac:dyDescent="0.3">
      <c r="A25" s="25">
        <v>24</v>
      </c>
      <c r="B25" s="11">
        <f>B23</f>
        <v>2.0999999999999996</v>
      </c>
      <c r="C25" s="5"/>
      <c r="D25" s="5"/>
      <c r="E25" s="5"/>
      <c r="F25" s="5"/>
      <c r="G25" s="5"/>
      <c r="H25" s="41"/>
      <c r="I25" s="56">
        <f t="shared" si="0"/>
        <v>2.0999999999999996</v>
      </c>
      <c r="J25" s="1"/>
      <c r="K25" s="1"/>
      <c r="L25" s="1"/>
    </row>
    <row r="26" spans="1:12" ht="15.6" x14ac:dyDescent="0.3">
      <c r="A26" s="25">
        <v>25</v>
      </c>
      <c r="B26" s="11"/>
      <c r="C26" s="5"/>
      <c r="D26" s="5"/>
      <c r="E26" s="5"/>
      <c r="F26" s="5"/>
      <c r="G26" s="5"/>
      <c r="H26" s="41"/>
      <c r="I26" s="56">
        <f t="shared" si="0"/>
        <v>0</v>
      </c>
      <c r="J26" s="1"/>
      <c r="K26" s="1"/>
      <c r="L26" s="1"/>
    </row>
    <row r="27" spans="1:12" ht="15.6" x14ac:dyDescent="0.3">
      <c r="A27" s="25">
        <v>26</v>
      </c>
      <c r="B27" s="11"/>
      <c r="C27" s="5"/>
      <c r="D27" s="5"/>
      <c r="E27" s="5">
        <v>10.5</v>
      </c>
      <c r="F27" s="5">
        <v>17</v>
      </c>
      <c r="G27" s="5"/>
      <c r="H27" s="41" t="s">
        <v>71</v>
      </c>
      <c r="I27" s="56">
        <f t="shared" si="0"/>
        <v>27.5</v>
      </c>
      <c r="J27" s="1"/>
      <c r="K27" s="1"/>
      <c r="L27" s="1"/>
    </row>
    <row r="28" spans="1:12" ht="15.6" x14ac:dyDescent="0.3">
      <c r="A28" s="89">
        <v>27</v>
      </c>
      <c r="B28" s="11"/>
      <c r="C28" s="5"/>
      <c r="D28" s="5"/>
      <c r="E28" s="5"/>
      <c r="F28" s="5">
        <f>14+20</f>
        <v>34</v>
      </c>
      <c r="G28" s="5"/>
      <c r="H28" s="41" t="s">
        <v>72</v>
      </c>
      <c r="I28" s="56">
        <f t="shared" si="0"/>
        <v>34</v>
      </c>
      <c r="J28" s="1"/>
      <c r="K28" s="1"/>
      <c r="L28" s="1"/>
    </row>
    <row r="29" spans="1:12" ht="15.6" x14ac:dyDescent="0.3">
      <c r="A29" s="89">
        <v>28</v>
      </c>
      <c r="B29" s="11"/>
      <c r="C29" s="5"/>
      <c r="D29" s="5"/>
      <c r="E29" s="5">
        <f>13.5+4.2</f>
        <v>17.7</v>
      </c>
      <c r="F29" s="5"/>
      <c r="G29" s="5"/>
      <c r="H29" s="41"/>
      <c r="I29" s="56">
        <f t="shared" si="0"/>
        <v>17.7</v>
      </c>
      <c r="J29" s="1"/>
      <c r="K29" s="1"/>
      <c r="L29" s="1"/>
    </row>
    <row r="30" spans="1:12" ht="15.6" x14ac:dyDescent="0.3">
      <c r="A30" s="25">
        <v>29</v>
      </c>
      <c r="B30" s="11">
        <f>1.6+0.7</f>
        <v>2.2999999999999998</v>
      </c>
      <c r="C30" s="5"/>
      <c r="D30" s="5"/>
      <c r="E30" s="5"/>
      <c r="F30" s="5">
        <v>4</v>
      </c>
      <c r="G30" s="5"/>
      <c r="H30" s="41"/>
      <c r="I30" s="56">
        <f t="shared" si="0"/>
        <v>6.3</v>
      </c>
      <c r="J30" s="1"/>
      <c r="K30" s="1"/>
      <c r="L30" s="1"/>
    </row>
    <row r="31" spans="1:12" ht="15.6" x14ac:dyDescent="0.3">
      <c r="A31" s="25">
        <v>30</v>
      </c>
      <c r="B31" s="11">
        <f>1.15+0.7</f>
        <v>1.8499999999999999</v>
      </c>
      <c r="C31" s="5"/>
      <c r="D31" s="5"/>
      <c r="E31" s="5"/>
      <c r="F31" s="5"/>
      <c r="G31" s="5"/>
      <c r="H31" s="41"/>
      <c r="I31" s="56">
        <f t="shared" si="0"/>
        <v>1.8499999999999999</v>
      </c>
      <c r="J31" s="1"/>
      <c r="K31" s="1"/>
      <c r="L31" s="1"/>
    </row>
    <row r="32" spans="1:12" ht="16.2" thickBot="1" x14ac:dyDescent="0.35">
      <c r="A32" s="27">
        <v>31</v>
      </c>
      <c r="B32" s="12">
        <f>1.15+0.7</f>
        <v>1.8499999999999999</v>
      </c>
      <c r="C32" s="13"/>
      <c r="D32" s="13"/>
      <c r="E32" s="13"/>
      <c r="F32" s="13"/>
      <c r="G32" s="13"/>
      <c r="H32" s="42"/>
      <c r="I32" s="56">
        <f t="shared" si="0"/>
        <v>1.8499999999999999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70.239999999999981</v>
      </c>
      <c r="C33" s="49">
        <f>SUM(C2:C32)</f>
        <v>11.299999999999999</v>
      </c>
      <c r="D33" s="43">
        <f t="shared" ref="D33:H33" si="1">SUM(D2:D32)</f>
        <v>66</v>
      </c>
      <c r="E33" s="49">
        <f t="shared" si="1"/>
        <v>48.2</v>
      </c>
      <c r="F33" s="49">
        <f t="shared" si="1"/>
        <v>154.39999999999998</v>
      </c>
      <c r="G33" s="43">
        <f t="shared" si="1"/>
        <v>161.19</v>
      </c>
      <c r="H33" s="49">
        <f t="shared" si="1"/>
        <v>0</v>
      </c>
      <c r="I33" s="55">
        <f>SUM(I2:I32)</f>
        <v>511.33000000000004</v>
      </c>
    </row>
  </sheetData>
  <conditionalFormatting sqref="L16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pane ySplit="1" topLeftCell="A5" activePane="bottomLeft" state="frozen"/>
      <selection pane="bottomLeft" activeCell="K14" sqref="K14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217</v>
      </c>
    </row>
    <row r="2" spans="1:12" ht="16.2" thickBot="1" x14ac:dyDescent="0.35">
      <c r="A2" s="26">
        <v>1</v>
      </c>
      <c r="B2" s="53">
        <f>0.25+1.15+0.7</f>
        <v>2.0999999999999996</v>
      </c>
      <c r="C2" s="90"/>
      <c r="D2" s="10"/>
      <c r="E2" s="6"/>
      <c r="F2" s="6"/>
      <c r="G2" s="6"/>
      <c r="H2" s="40"/>
      <c r="I2" s="56">
        <f>SUM(B2:H2)</f>
        <v>2.0999999999999996</v>
      </c>
      <c r="J2" s="1"/>
      <c r="K2" s="17" t="s">
        <v>64</v>
      </c>
      <c r="L2" s="24">
        <v>50.5</v>
      </c>
    </row>
    <row r="3" spans="1:12" ht="16.2" thickBot="1" x14ac:dyDescent="0.35">
      <c r="A3" s="25">
        <v>2</v>
      </c>
      <c r="B3" s="11">
        <f>6.55+0.25+1.6</f>
        <v>8.4</v>
      </c>
      <c r="C3" s="6"/>
      <c r="D3" s="5">
        <v>20</v>
      </c>
      <c r="E3" s="5">
        <v>10</v>
      </c>
      <c r="F3" s="5">
        <v>10</v>
      </c>
      <c r="G3" s="5"/>
      <c r="H3" s="41"/>
      <c r="I3" s="56">
        <f t="shared" ref="I3:I33" si="0">SUM(B3:H3)</f>
        <v>48.4</v>
      </c>
      <c r="J3" s="1"/>
      <c r="K3" s="17" t="s">
        <v>12</v>
      </c>
      <c r="L3" s="24"/>
    </row>
    <row r="4" spans="1:12" ht="15.6" x14ac:dyDescent="0.3">
      <c r="A4" s="89">
        <v>3</v>
      </c>
      <c r="B4" s="11">
        <v>2.2000000000000002</v>
      </c>
      <c r="C4" s="5"/>
      <c r="D4" s="5"/>
      <c r="E4" s="5"/>
      <c r="F4" s="5">
        <v>17</v>
      </c>
      <c r="G4" s="5"/>
      <c r="H4" s="41"/>
      <c r="I4" s="56">
        <f t="shared" si="0"/>
        <v>19.2</v>
      </c>
      <c r="J4" s="1"/>
      <c r="K4" s="3"/>
      <c r="L4" s="1"/>
    </row>
    <row r="5" spans="1:12" ht="15.6" x14ac:dyDescent="0.3">
      <c r="A5" s="89">
        <v>4</v>
      </c>
      <c r="B5" s="11">
        <v>2</v>
      </c>
      <c r="C5" s="5"/>
      <c r="D5" s="5">
        <v>15</v>
      </c>
      <c r="E5" s="5"/>
      <c r="F5" s="5"/>
      <c r="G5" s="5"/>
      <c r="H5" s="41"/>
      <c r="I5" s="56">
        <f t="shared" si="0"/>
        <v>17</v>
      </c>
      <c r="J5" s="1"/>
      <c r="K5" s="3"/>
      <c r="L5" s="1"/>
    </row>
    <row r="6" spans="1:12" ht="15.6" x14ac:dyDescent="0.3">
      <c r="A6" s="25">
        <v>5</v>
      </c>
      <c r="B6" s="11">
        <f>1.6+0.7</f>
        <v>2.2999999999999998</v>
      </c>
      <c r="C6" s="5"/>
      <c r="D6" s="5"/>
      <c r="E6" s="5"/>
      <c r="F6" s="5"/>
      <c r="G6" s="5"/>
      <c r="H6" s="41"/>
      <c r="I6" s="56">
        <f t="shared" si="0"/>
        <v>2.2999999999999998</v>
      </c>
      <c r="J6" s="1"/>
      <c r="K6" s="3"/>
      <c r="L6" s="1"/>
    </row>
    <row r="7" spans="1:12" ht="15.6" x14ac:dyDescent="0.3">
      <c r="A7" s="25">
        <v>6</v>
      </c>
      <c r="B7" s="11">
        <v>1.4</v>
      </c>
      <c r="C7" s="5"/>
      <c r="D7" s="5"/>
      <c r="E7" s="5"/>
      <c r="F7" s="5"/>
      <c r="G7" s="5"/>
      <c r="H7" s="41"/>
      <c r="I7" s="56">
        <f t="shared" si="0"/>
        <v>1.4</v>
      </c>
      <c r="J7" s="1"/>
      <c r="K7" s="3"/>
      <c r="L7" s="1"/>
    </row>
    <row r="8" spans="1:12" ht="15.6" x14ac:dyDescent="0.3">
      <c r="A8" s="25">
        <v>7</v>
      </c>
      <c r="B8" s="11">
        <v>1.4</v>
      </c>
      <c r="C8" s="5"/>
      <c r="D8" s="5"/>
      <c r="E8" s="5"/>
      <c r="F8" s="5"/>
      <c r="G8" s="5"/>
      <c r="H8" s="41"/>
      <c r="I8" s="56">
        <f t="shared" si="0"/>
        <v>1.4</v>
      </c>
      <c r="J8" s="1"/>
      <c r="K8" s="3"/>
      <c r="L8" s="1"/>
    </row>
    <row r="9" spans="1:12" ht="15.6" x14ac:dyDescent="0.3">
      <c r="A9" s="25">
        <v>8</v>
      </c>
      <c r="B9" s="11">
        <v>1.4</v>
      </c>
      <c r="C9" s="5"/>
      <c r="D9" s="5"/>
      <c r="E9" s="5"/>
      <c r="F9" s="5"/>
      <c r="G9" s="5"/>
      <c r="H9" s="41"/>
      <c r="I9" s="56">
        <f t="shared" si="0"/>
        <v>1.4</v>
      </c>
      <c r="J9" s="1"/>
      <c r="K9" s="3"/>
      <c r="L9" s="1"/>
    </row>
    <row r="10" spans="1:12" ht="15.6" x14ac:dyDescent="0.3">
      <c r="A10" s="25">
        <v>9</v>
      </c>
      <c r="B10" s="11">
        <f>1.4+6.55</f>
        <v>7.9499999999999993</v>
      </c>
      <c r="C10" s="5"/>
      <c r="D10" s="5">
        <v>40</v>
      </c>
      <c r="E10" s="5">
        <v>10</v>
      </c>
      <c r="F10" s="5">
        <v>2</v>
      </c>
      <c r="G10" s="5"/>
      <c r="H10" s="41"/>
      <c r="I10" s="56">
        <f t="shared" si="0"/>
        <v>59.95</v>
      </c>
      <c r="J10" s="1"/>
      <c r="K10" s="3"/>
      <c r="L10" s="1"/>
    </row>
    <row r="11" spans="1:12" ht="15.6" x14ac:dyDescent="0.3">
      <c r="A11" s="89">
        <v>10</v>
      </c>
      <c r="B11" s="92">
        <v>24</v>
      </c>
      <c r="C11" s="93"/>
      <c r="D11" s="93"/>
      <c r="E11" s="93"/>
      <c r="F11" s="93"/>
      <c r="G11" s="93"/>
      <c r="H11" s="94"/>
      <c r="I11" s="56">
        <f t="shared" si="0"/>
        <v>24</v>
      </c>
      <c r="J11" s="1"/>
      <c r="K11" s="3"/>
      <c r="L11" s="1"/>
    </row>
    <row r="12" spans="1:12" ht="16.2" thickBot="1" x14ac:dyDescent="0.35">
      <c r="A12" s="89">
        <v>11</v>
      </c>
      <c r="B12" s="92">
        <v>5</v>
      </c>
      <c r="C12" s="93"/>
      <c r="D12" s="93"/>
      <c r="E12" s="93"/>
      <c r="F12" s="93">
        <f>60-B13-B12</f>
        <v>42</v>
      </c>
      <c r="G12" s="93"/>
      <c r="H12" s="94"/>
      <c r="I12" s="56">
        <f t="shared" si="0"/>
        <v>47</v>
      </c>
      <c r="J12" s="1"/>
      <c r="K12" s="3"/>
      <c r="L12" s="1"/>
    </row>
    <row r="13" spans="1:12" ht="15.6" x14ac:dyDescent="0.3">
      <c r="A13" s="25">
        <v>12</v>
      </c>
      <c r="B13" s="92">
        <v>13</v>
      </c>
      <c r="C13" s="93"/>
      <c r="D13" s="93"/>
      <c r="E13" s="93"/>
      <c r="F13" s="93"/>
      <c r="G13" s="93"/>
      <c r="H13" s="94"/>
      <c r="I13" s="56">
        <f t="shared" si="0"/>
        <v>13</v>
      </c>
      <c r="J13" s="1"/>
      <c r="K13" s="16" t="s">
        <v>8</v>
      </c>
      <c r="L13" s="29">
        <v>916.5</v>
      </c>
    </row>
    <row r="14" spans="1:12" ht="15.6" x14ac:dyDescent="0.3">
      <c r="A14" s="25">
        <v>13</v>
      </c>
      <c r="B14" s="92"/>
      <c r="C14" s="93"/>
      <c r="D14" s="93"/>
      <c r="E14" s="93"/>
      <c r="F14" s="93"/>
      <c r="G14" s="93"/>
      <c r="H14" s="94"/>
      <c r="I14" s="56">
        <f t="shared" si="0"/>
        <v>0</v>
      </c>
      <c r="J14" s="1"/>
      <c r="K14" s="22" t="s">
        <v>9</v>
      </c>
      <c r="L14" s="28">
        <f>SUM(B33:H33)+L1+L2</f>
        <v>1316.32</v>
      </c>
    </row>
    <row r="15" spans="1:12" ht="15.6" x14ac:dyDescent="0.3">
      <c r="A15" s="25">
        <v>14</v>
      </c>
      <c r="B15" s="92"/>
      <c r="C15" s="93"/>
      <c r="D15" s="93"/>
      <c r="E15" s="93"/>
      <c r="F15" s="93">
        <v>60</v>
      </c>
      <c r="G15" s="93">
        <v>350</v>
      </c>
      <c r="H15" s="94" t="s">
        <v>73</v>
      </c>
      <c r="I15" s="56">
        <f t="shared" si="0"/>
        <v>410</v>
      </c>
      <c r="J15" s="1"/>
      <c r="K15" s="20"/>
      <c r="L15" s="19"/>
    </row>
    <row r="16" spans="1:12" ht="16.2" thickBot="1" x14ac:dyDescent="0.35">
      <c r="A16" s="25">
        <v>15</v>
      </c>
      <c r="B16" s="92"/>
      <c r="C16" s="93"/>
      <c r="D16" s="93"/>
      <c r="E16" s="93"/>
      <c r="F16" s="93">
        <v>30</v>
      </c>
      <c r="G16" s="93"/>
      <c r="H16" s="94"/>
      <c r="I16" s="56">
        <f t="shared" si="0"/>
        <v>30</v>
      </c>
      <c r="J16" s="1"/>
      <c r="K16" s="21" t="s">
        <v>10</v>
      </c>
      <c r="L16" s="18">
        <f>L13-L14</f>
        <v>-399.81999999999994</v>
      </c>
    </row>
    <row r="17" spans="1:12" ht="15.6" x14ac:dyDescent="0.3">
      <c r="A17" s="25">
        <v>16</v>
      </c>
      <c r="B17" s="92"/>
      <c r="C17" s="93"/>
      <c r="D17" s="93"/>
      <c r="E17" s="93"/>
      <c r="F17" s="93"/>
      <c r="G17" s="93"/>
      <c r="H17" s="94"/>
      <c r="I17" s="56">
        <f t="shared" si="0"/>
        <v>0</v>
      </c>
      <c r="J17" s="1"/>
      <c r="K17" s="1"/>
      <c r="L17" s="1"/>
    </row>
    <row r="18" spans="1:12" ht="15.6" x14ac:dyDescent="0.3">
      <c r="A18" s="89">
        <v>17</v>
      </c>
      <c r="B18" s="92">
        <v>6.5</v>
      </c>
      <c r="C18" s="93"/>
      <c r="D18" s="93"/>
      <c r="E18" s="93"/>
      <c r="F18" s="93">
        <f>70-B18-50-5-10</f>
        <v>-1.5</v>
      </c>
      <c r="G18" s="93"/>
      <c r="H18" s="94"/>
      <c r="I18" s="56">
        <f t="shared" si="0"/>
        <v>5</v>
      </c>
      <c r="J18" s="1">
        <f>SUM(I10:I18)-350</f>
        <v>238.95000000000005</v>
      </c>
      <c r="K18" s="1"/>
      <c r="L18" s="1"/>
    </row>
    <row r="19" spans="1:12" ht="15.6" x14ac:dyDescent="0.3">
      <c r="A19" s="89">
        <v>18</v>
      </c>
      <c r="B19" s="92"/>
      <c r="C19" s="93"/>
      <c r="D19" s="93"/>
      <c r="E19" s="93"/>
      <c r="F19" s="93"/>
      <c r="G19" s="93">
        <f>240-25.5</f>
        <v>214.5</v>
      </c>
      <c r="H19" s="94" t="s">
        <v>74</v>
      </c>
      <c r="I19" s="56">
        <f t="shared" si="0"/>
        <v>214.5</v>
      </c>
      <c r="J19" s="1"/>
      <c r="K19" s="1"/>
      <c r="L19" s="1"/>
    </row>
    <row r="20" spans="1:12" ht="15.6" x14ac:dyDescent="0.3">
      <c r="A20" s="25">
        <v>19</v>
      </c>
      <c r="B20" s="11">
        <v>1.9</v>
      </c>
      <c r="C20" s="5"/>
      <c r="D20" s="5"/>
      <c r="E20" s="5"/>
      <c r="F20" s="5">
        <v>7</v>
      </c>
      <c r="G20" s="5">
        <v>7</v>
      </c>
      <c r="H20" s="41"/>
      <c r="I20" s="56">
        <f t="shared" si="0"/>
        <v>15.9</v>
      </c>
      <c r="J20" s="1"/>
      <c r="K20" s="1"/>
      <c r="L20" s="1"/>
    </row>
    <row r="21" spans="1:12" ht="15.6" x14ac:dyDescent="0.3">
      <c r="A21" s="25">
        <v>20</v>
      </c>
      <c r="B21" s="11">
        <v>2.9</v>
      </c>
      <c r="C21" s="5"/>
      <c r="D21" s="5"/>
      <c r="E21" s="5"/>
      <c r="F21" s="5"/>
      <c r="G21" s="5"/>
      <c r="H21" s="41"/>
      <c r="I21" s="56">
        <f t="shared" si="0"/>
        <v>2.9</v>
      </c>
      <c r="J21" s="1"/>
      <c r="K21" s="1"/>
      <c r="L21" s="1"/>
    </row>
    <row r="22" spans="1:12" ht="15.6" x14ac:dyDescent="0.3">
      <c r="A22" s="25">
        <v>21</v>
      </c>
      <c r="B22" s="11"/>
      <c r="C22" s="5"/>
      <c r="D22" s="5"/>
      <c r="E22" s="5"/>
      <c r="F22" s="5">
        <v>3.3</v>
      </c>
      <c r="G22" s="5"/>
      <c r="H22" s="41"/>
      <c r="I22" s="56">
        <f t="shared" si="0"/>
        <v>3.3</v>
      </c>
      <c r="J22" s="1"/>
      <c r="K22" s="1"/>
      <c r="L22" s="1"/>
    </row>
    <row r="23" spans="1:12" ht="15.6" x14ac:dyDescent="0.3">
      <c r="A23" s="25">
        <v>22</v>
      </c>
      <c r="B23" s="11">
        <v>1.9</v>
      </c>
      <c r="C23" s="5"/>
      <c r="D23" s="5"/>
      <c r="E23" s="5"/>
      <c r="F23" s="5"/>
      <c r="G23" s="5"/>
      <c r="H23" s="41"/>
      <c r="I23" s="56">
        <f t="shared" si="0"/>
        <v>1.9</v>
      </c>
      <c r="J23" s="1"/>
      <c r="K23" s="1"/>
      <c r="L23" s="1"/>
    </row>
    <row r="24" spans="1:12" ht="15.6" x14ac:dyDescent="0.3">
      <c r="A24" s="25">
        <v>23</v>
      </c>
      <c r="B24" s="11">
        <v>1.9</v>
      </c>
      <c r="C24" s="5"/>
      <c r="D24" s="5"/>
      <c r="E24" s="5"/>
      <c r="F24" s="5">
        <v>20</v>
      </c>
      <c r="G24" s="5"/>
      <c r="H24" s="41"/>
      <c r="I24" s="56">
        <f t="shared" si="0"/>
        <v>21.9</v>
      </c>
      <c r="J24" s="1"/>
      <c r="K24" s="1"/>
      <c r="L24" s="1"/>
    </row>
    <row r="25" spans="1:12" ht="15.6" x14ac:dyDescent="0.3">
      <c r="A25" s="89">
        <v>24</v>
      </c>
      <c r="B25" s="11">
        <v>2</v>
      </c>
      <c r="C25" s="5"/>
      <c r="D25" s="5"/>
      <c r="E25" s="5"/>
      <c r="F25" s="5">
        <v>3</v>
      </c>
      <c r="G25" s="5"/>
      <c r="H25" s="41"/>
      <c r="I25" s="56">
        <f t="shared" si="0"/>
        <v>5</v>
      </c>
      <c r="J25" s="1"/>
      <c r="K25" s="1"/>
      <c r="L25" s="1"/>
    </row>
    <row r="26" spans="1:12" ht="15.6" x14ac:dyDescent="0.3">
      <c r="A26" s="89">
        <v>25</v>
      </c>
      <c r="B26" s="11"/>
      <c r="C26" s="5"/>
      <c r="D26" s="5"/>
      <c r="E26" s="5">
        <v>10</v>
      </c>
      <c r="F26" s="5">
        <v>1</v>
      </c>
      <c r="G26" s="5"/>
      <c r="H26" s="41"/>
      <c r="I26" s="56">
        <f t="shared" si="0"/>
        <v>11</v>
      </c>
      <c r="J26" s="1"/>
      <c r="K26" s="1"/>
      <c r="L26" s="1"/>
    </row>
    <row r="27" spans="1:12" ht="15.6" x14ac:dyDescent="0.3">
      <c r="A27" s="25">
        <v>26</v>
      </c>
      <c r="B27" s="11">
        <f>1.6+9.59+4.68</f>
        <v>15.87</v>
      </c>
      <c r="C27" s="5"/>
      <c r="D27" s="5"/>
      <c r="E27" s="5"/>
      <c r="F27" s="5"/>
      <c r="G27" s="5">
        <v>6</v>
      </c>
      <c r="H27" s="41"/>
      <c r="I27" s="56">
        <f t="shared" si="0"/>
        <v>21.869999999999997</v>
      </c>
      <c r="J27" s="1"/>
      <c r="K27" s="1"/>
      <c r="L27" s="1"/>
    </row>
    <row r="28" spans="1:12" ht="15.6" x14ac:dyDescent="0.3">
      <c r="A28" s="25">
        <v>27</v>
      </c>
      <c r="B28" s="11">
        <v>1.6</v>
      </c>
      <c r="C28" s="5"/>
      <c r="D28" s="5"/>
      <c r="E28" s="5"/>
      <c r="F28" s="5"/>
      <c r="G28" s="5"/>
      <c r="H28" s="41"/>
      <c r="I28" s="56">
        <f t="shared" si="0"/>
        <v>1.6</v>
      </c>
      <c r="J28" s="1"/>
      <c r="K28" s="1"/>
      <c r="L28" s="1"/>
    </row>
    <row r="29" spans="1:12" ht="15.6" x14ac:dyDescent="0.3">
      <c r="A29" s="25">
        <v>28</v>
      </c>
      <c r="B29" s="11">
        <v>1.6</v>
      </c>
      <c r="C29" s="5"/>
      <c r="D29" s="5"/>
      <c r="E29" s="5"/>
      <c r="F29" s="5"/>
      <c r="G29" s="5"/>
      <c r="H29" s="41"/>
      <c r="I29" s="56">
        <f t="shared" si="0"/>
        <v>1.6</v>
      </c>
      <c r="J29" s="1"/>
      <c r="K29" s="1"/>
      <c r="L29" s="1"/>
    </row>
    <row r="30" spans="1:12" ht="15.6" x14ac:dyDescent="0.3">
      <c r="A30" s="25">
        <v>29</v>
      </c>
      <c r="B30" s="11">
        <v>1.6</v>
      </c>
      <c r="C30" s="5"/>
      <c r="D30" s="5"/>
      <c r="E30" s="5"/>
      <c r="F30" s="5"/>
      <c r="G30" s="5"/>
      <c r="H30" s="41"/>
      <c r="I30" s="56">
        <f t="shared" si="0"/>
        <v>1.6</v>
      </c>
      <c r="J30" s="1"/>
      <c r="K30" s="1"/>
      <c r="L30" s="1"/>
    </row>
    <row r="31" spans="1:12" ht="15.6" x14ac:dyDescent="0.3">
      <c r="A31" s="25">
        <v>30</v>
      </c>
      <c r="B31" s="11">
        <v>1.6</v>
      </c>
      <c r="C31" s="5"/>
      <c r="D31" s="5"/>
      <c r="E31" s="5"/>
      <c r="F31" s="5"/>
      <c r="G31" s="5"/>
      <c r="H31" s="41"/>
      <c r="I31" s="56">
        <f t="shared" si="0"/>
        <v>1.6</v>
      </c>
      <c r="J31" s="1"/>
      <c r="K31" s="1"/>
      <c r="L31" s="1"/>
    </row>
    <row r="32" spans="1:12" ht="16.2" thickBot="1" x14ac:dyDescent="0.35">
      <c r="A32" s="91">
        <v>31</v>
      </c>
      <c r="B32" s="12">
        <f>31+5</f>
        <v>36</v>
      </c>
      <c r="C32" s="13"/>
      <c r="D32" s="13"/>
      <c r="E32" s="13">
        <v>2</v>
      </c>
      <c r="F32" s="13">
        <v>24</v>
      </c>
      <c r="G32" s="13"/>
      <c r="H32" s="42"/>
      <c r="I32" s="56">
        <f t="shared" si="0"/>
        <v>62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146.51999999999998</v>
      </c>
      <c r="C33" s="49">
        <f>SUM(C2:C32)</f>
        <v>0</v>
      </c>
      <c r="D33" s="43">
        <f t="shared" ref="D33:H33" si="1">SUM(D2:D32)</f>
        <v>75</v>
      </c>
      <c r="E33" s="49">
        <f t="shared" si="1"/>
        <v>32</v>
      </c>
      <c r="F33" s="49">
        <f t="shared" si="1"/>
        <v>217.8</v>
      </c>
      <c r="G33" s="43">
        <f t="shared" si="1"/>
        <v>577.5</v>
      </c>
      <c r="H33" s="49">
        <f t="shared" si="1"/>
        <v>0</v>
      </c>
      <c r="I33" s="56">
        <f t="shared" si="0"/>
        <v>1048.82</v>
      </c>
    </row>
  </sheetData>
  <conditionalFormatting sqref="L1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K1" sqref="K1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217</v>
      </c>
    </row>
    <row r="2" spans="1:12" ht="16.2" thickBot="1" x14ac:dyDescent="0.35">
      <c r="A2" s="82">
        <v>1</v>
      </c>
      <c r="B2" s="53"/>
      <c r="C2" s="90"/>
      <c r="D2" s="10"/>
      <c r="E2" s="6"/>
      <c r="F2" s="6"/>
      <c r="G2" s="6"/>
      <c r="H2" s="40"/>
      <c r="I2" s="56">
        <f>SUM(B2:H2)</f>
        <v>0</v>
      </c>
      <c r="J2" s="1"/>
      <c r="K2" s="17" t="s">
        <v>64</v>
      </c>
      <c r="L2" s="24">
        <f>257-L1</f>
        <v>40</v>
      </c>
    </row>
    <row r="3" spans="1:12" ht="16.2" thickBot="1" x14ac:dyDescent="0.35">
      <c r="A3" s="25">
        <v>2</v>
      </c>
      <c r="B3" s="11">
        <f>0.25+1.15+0.7</f>
        <v>2.0999999999999996</v>
      </c>
      <c r="C3" s="6"/>
      <c r="D3" s="5"/>
      <c r="E3" s="5"/>
      <c r="F3" s="5"/>
      <c r="G3" s="5"/>
      <c r="H3" s="41"/>
      <c r="I3" s="56">
        <f t="shared" ref="I3:I31" si="0">SUM(B3:H3)</f>
        <v>2.0999999999999996</v>
      </c>
      <c r="J3" s="1"/>
      <c r="K3" s="17" t="s">
        <v>12</v>
      </c>
      <c r="L3" s="24"/>
    </row>
    <row r="4" spans="1:12" ht="15.6" x14ac:dyDescent="0.3">
      <c r="A4" s="25">
        <v>3</v>
      </c>
      <c r="B4" s="11">
        <f>0.25+1.15+0.7</f>
        <v>2.0999999999999996</v>
      </c>
      <c r="C4" s="5"/>
      <c r="D4" s="5"/>
      <c r="E4" s="5"/>
      <c r="F4" s="5"/>
      <c r="G4" s="5"/>
      <c r="H4" s="41"/>
      <c r="I4" s="56">
        <f t="shared" si="0"/>
        <v>2.0999999999999996</v>
      </c>
      <c r="J4" s="1"/>
      <c r="K4" s="3"/>
      <c r="L4" s="1"/>
    </row>
    <row r="5" spans="1:12" ht="15.6" x14ac:dyDescent="0.3">
      <c r="A5" s="25">
        <v>4</v>
      </c>
      <c r="B5" s="11">
        <f>0.25+1.15</f>
        <v>1.4</v>
      </c>
      <c r="C5" s="5"/>
      <c r="D5" s="5"/>
      <c r="E5" s="5"/>
      <c r="F5" s="5"/>
      <c r="G5" s="5"/>
      <c r="H5" s="41"/>
      <c r="I5" s="56">
        <f t="shared" si="0"/>
        <v>1.4</v>
      </c>
      <c r="J5" s="1"/>
      <c r="K5" s="3"/>
      <c r="L5" s="1"/>
    </row>
    <row r="6" spans="1:12" ht="15.6" x14ac:dyDescent="0.3">
      <c r="A6" s="25">
        <v>5</v>
      </c>
      <c r="B6" s="11">
        <f t="shared" ref="B6" si="1">0.25+1.15</f>
        <v>1.4</v>
      </c>
      <c r="C6" s="5"/>
      <c r="D6" s="5"/>
      <c r="E6" s="5"/>
      <c r="F6" s="5"/>
      <c r="G6" s="5"/>
      <c r="H6" s="41"/>
      <c r="I6" s="56">
        <f t="shared" si="0"/>
        <v>1.4</v>
      </c>
      <c r="J6" s="1"/>
      <c r="K6" s="3"/>
      <c r="L6" s="1"/>
    </row>
    <row r="7" spans="1:12" ht="15.6" x14ac:dyDescent="0.3">
      <c r="A7" s="25">
        <v>6</v>
      </c>
      <c r="B7" s="11">
        <f>0.25+1.15+5</f>
        <v>6.4</v>
      </c>
      <c r="C7" s="5"/>
      <c r="D7" s="5"/>
      <c r="E7" s="5"/>
      <c r="F7" s="5">
        <f>25+17</f>
        <v>42</v>
      </c>
      <c r="G7" s="5"/>
      <c r="H7" s="41"/>
      <c r="I7" s="56">
        <f t="shared" si="0"/>
        <v>48.4</v>
      </c>
      <c r="J7" s="1"/>
      <c r="K7" s="3"/>
      <c r="L7" s="1"/>
    </row>
    <row r="8" spans="1:12" ht="15.6" x14ac:dyDescent="0.3">
      <c r="A8" s="89">
        <v>7</v>
      </c>
      <c r="B8" s="11">
        <f>5.5+1.5</f>
        <v>7</v>
      </c>
      <c r="C8" s="5"/>
      <c r="D8" s="5"/>
      <c r="E8" s="5"/>
      <c r="F8" s="5">
        <v>5</v>
      </c>
      <c r="G8" s="5"/>
      <c r="H8" s="41"/>
      <c r="I8" s="56">
        <f t="shared" si="0"/>
        <v>12</v>
      </c>
      <c r="J8" s="1"/>
      <c r="K8" s="3"/>
      <c r="L8" s="1"/>
    </row>
    <row r="9" spans="1:12" ht="15.6" x14ac:dyDescent="0.3">
      <c r="A9" s="89">
        <v>8</v>
      </c>
      <c r="B9" s="11"/>
      <c r="C9" s="5"/>
      <c r="D9" s="5"/>
      <c r="E9" s="5"/>
      <c r="F9" s="5"/>
      <c r="G9" s="5"/>
      <c r="H9" s="41"/>
      <c r="I9" s="56">
        <f t="shared" si="0"/>
        <v>0</v>
      </c>
      <c r="J9" s="1"/>
      <c r="K9" s="3"/>
      <c r="L9" s="1"/>
    </row>
    <row r="10" spans="1:12" ht="15.6" x14ac:dyDescent="0.3">
      <c r="A10" s="25">
        <v>9</v>
      </c>
      <c r="B10" s="11">
        <f>1.4+19.42</f>
        <v>20.82</v>
      </c>
      <c r="C10" s="5"/>
      <c r="D10" s="5"/>
      <c r="E10" s="5"/>
      <c r="F10" s="5"/>
      <c r="G10" s="5"/>
      <c r="H10" s="41" t="s">
        <v>77</v>
      </c>
      <c r="I10" s="56">
        <f t="shared" si="0"/>
        <v>20.82</v>
      </c>
      <c r="J10" s="1"/>
      <c r="K10" s="3"/>
      <c r="L10" s="1"/>
    </row>
    <row r="11" spans="1:12" ht="15.6" x14ac:dyDescent="0.3">
      <c r="A11" s="25">
        <v>10</v>
      </c>
      <c r="B11" s="11">
        <f t="shared" ref="B11:B14" si="2">1.4</f>
        <v>1.4</v>
      </c>
      <c r="C11" s="5"/>
      <c r="D11" s="5"/>
      <c r="E11" s="5"/>
      <c r="F11" s="5"/>
      <c r="G11" s="5"/>
      <c r="H11" s="41"/>
      <c r="I11" s="56">
        <f t="shared" si="0"/>
        <v>1.4</v>
      </c>
      <c r="J11" s="1"/>
      <c r="K11" s="3"/>
      <c r="L11" s="1"/>
    </row>
    <row r="12" spans="1:12" ht="16.2" thickBot="1" x14ac:dyDescent="0.35">
      <c r="A12" s="25">
        <v>11</v>
      </c>
      <c r="B12" s="11">
        <f>1.4+1.49</f>
        <v>2.8899999999999997</v>
      </c>
      <c r="C12" s="5"/>
      <c r="D12" s="5"/>
      <c r="E12" s="5"/>
      <c r="F12" s="5"/>
      <c r="G12" s="5">
        <v>50</v>
      </c>
      <c r="H12" s="41" t="s">
        <v>23</v>
      </c>
      <c r="I12" s="56">
        <f t="shared" si="0"/>
        <v>52.89</v>
      </c>
      <c r="J12" s="1"/>
      <c r="K12" s="3"/>
      <c r="L12" s="1"/>
    </row>
    <row r="13" spans="1:12" ht="15.6" x14ac:dyDescent="0.3">
      <c r="A13" s="25">
        <v>12</v>
      </c>
      <c r="B13" s="11">
        <f>1.4+13.1</f>
        <v>14.5</v>
      </c>
      <c r="C13" s="5"/>
      <c r="D13" s="5">
        <v>15</v>
      </c>
      <c r="E13" s="5"/>
      <c r="F13" s="5">
        <v>1.5</v>
      </c>
      <c r="G13" s="5"/>
      <c r="H13" s="41" t="s">
        <v>76</v>
      </c>
      <c r="I13" s="56">
        <f t="shared" si="0"/>
        <v>31</v>
      </c>
      <c r="J13" s="1"/>
      <c r="K13" s="16" t="s">
        <v>8</v>
      </c>
      <c r="L13" s="29">
        <v>927.26</v>
      </c>
    </row>
    <row r="14" spans="1:12" ht="15.6" x14ac:dyDescent="0.3">
      <c r="A14" s="25">
        <v>13</v>
      </c>
      <c r="B14" s="11">
        <f t="shared" si="2"/>
        <v>1.4</v>
      </c>
      <c r="C14" s="5"/>
      <c r="D14" s="5"/>
      <c r="E14" s="5">
        <v>9.8000000000000007</v>
      </c>
      <c r="F14" s="5">
        <v>4</v>
      </c>
      <c r="G14" s="5"/>
      <c r="H14" s="41"/>
      <c r="I14" s="56">
        <f t="shared" si="0"/>
        <v>15.200000000000001</v>
      </c>
      <c r="J14" s="1"/>
      <c r="K14" s="22" t="s">
        <v>9</v>
      </c>
      <c r="L14" s="28">
        <f>SUM(B33:H33)+L1+L2</f>
        <v>648.54999999999995</v>
      </c>
    </row>
    <row r="15" spans="1:12" ht="15.6" x14ac:dyDescent="0.3">
      <c r="A15" s="89">
        <v>14</v>
      </c>
      <c r="B15" s="11"/>
      <c r="C15" s="5"/>
      <c r="D15" s="5"/>
      <c r="E15" s="5"/>
      <c r="F15" s="5">
        <f>20+15+5</f>
        <v>40</v>
      </c>
      <c r="G15" s="5"/>
      <c r="H15" s="41" t="s">
        <v>75</v>
      </c>
      <c r="I15" s="56">
        <f t="shared" si="0"/>
        <v>40</v>
      </c>
      <c r="J15" s="1"/>
      <c r="K15" s="20"/>
      <c r="L15" s="19"/>
    </row>
    <row r="16" spans="1:12" ht="16.2" thickBot="1" x14ac:dyDescent="0.35">
      <c r="A16" s="89">
        <v>15</v>
      </c>
      <c r="B16" s="11">
        <v>0.8</v>
      </c>
      <c r="C16" s="5"/>
      <c r="D16" s="5"/>
      <c r="E16" s="5">
        <f>13.5+4.2</f>
        <v>17.7</v>
      </c>
      <c r="F16" s="5"/>
      <c r="G16" s="5"/>
      <c r="H16" s="41"/>
      <c r="I16" s="56">
        <f t="shared" si="0"/>
        <v>18.5</v>
      </c>
      <c r="J16" s="1"/>
      <c r="K16" s="21" t="s">
        <v>10</v>
      </c>
      <c r="L16" s="18">
        <f>L13-L14</f>
        <v>278.71000000000004</v>
      </c>
    </row>
    <row r="17" spans="1:12" ht="15.6" x14ac:dyDescent="0.3">
      <c r="A17" s="25">
        <v>16</v>
      </c>
      <c r="B17" s="11">
        <f>1.6+0.25+1.49</f>
        <v>3.34</v>
      </c>
      <c r="C17" s="5">
        <v>3.29</v>
      </c>
      <c r="D17" s="5"/>
      <c r="E17" s="5"/>
      <c r="F17" s="5"/>
      <c r="G17" s="5"/>
      <c r="H17" s="41"/>
      <c r="I17" s="56">
        <f t="shared" si="0"/>
        <v>6.63</v>
      </c>
      <c r="J17" s="1"/>
      <c r="K17" s="1"/>
      <c r="L17" s="1"/>
    </row>
    <row r="18" spans="1:12" ht="15.6" x14ac:dyDescent="0.3">
      <c r="A18" s="25">
        <v>17</v>
      </c>
      <c r="B18" s="11">
        <f>0.25+1.15+0.7</f>
        <v>2.0999999999999996</v>
      </c>
      <c r="C18" s="5"/>
      <c r="D18" s="5"/>
      <c r="E18" s="5"/>
      <c r="F18" s="5"/>
      <c r="G18" s="5"/>
      <c r="H18" s="41"/>
      <c r="I18" s="56">
        <f t="shared" si="0"/>
        <v>2.0999999999999996</v>
      </c>
      <c r="J18" s="1"/>
      <c r="K18" s="1"/>
      <c r="L18" s="1"/>
    </row>
    <row r="19" spans="1:12" ht="15.6" x14ac:dyDescent="0.3">
      <c r="A19" s="25">
        <v>18</v>
      </c>
      <c r="B19" s="11">
        <f t="shared" ref="B19:B20" si="3">0.25+1.15+0.7</f>
        <v>2.0999999999999996</v>
      </c>
      <c r="C19" s="5"/>
      <c r="D19" s="5"/>
      <c r="E19" s="5"/>
      <c r="F19" s="5"/>
      <c r="G19" s="5"/>
      <c r="H19" s="41"/>
      <c r="I19" s="56">
        <f t="shared" si="0"/>
        <v>2.0999999999999996</v>
      </c>
      <c r="J19" s="1"/>
      <c r="K19" s="1"/>
      <c r="L19" s="1"/>
    </row>
    <row r="20" spans="1:12" ht="15.6" x14ac:dyDescent="0.3">
      <c r="A20" s="25">
        <v>19</v>
      </c>
      <c r="B20" s="11">
        <f t="shared" si="3"/>
        <v>2.0999999999999996</v>
      </c>
      <c r="C20" s="5"/>
      <c r="D20" s="5"/>
      <c r="E20" s="5"/>
      <c r="F20" s="5"/>
      <c r="G20" s="5">
        <v>30</v>
      </c>
      <c r="H20" s="41" t="s">
        <v>78</v>
      </c>
      <c r="I20" s="56">
        <f t="shared" si="0"/>
        <v>32.1</v>
      </c>
      <c r="J20" s="1"/>
      <c r="K20" s="1"/>
      <c r="L20" s="1"/>
    </row>
    <row r="21" spans="1:12" ht="15.6" x14ac:dyDescent="0.3">
      <c r="A21" s="25">
        <v>20</v>
      </c>
      <c r="B21" s="11">
        <f>0.25+1.15+0.7+5.95</f>
        <v>8.0500000000000007</v>
      </c>
      <c r="C21" s="5"/>
      <c r="D21" s="5"/>
      <c r="E21" s="5"/>
      <c r="F21" s="5">
        <v>6</v>
      </c>
      <c r="G21" s="5"/>
      <c r="H21" s="41"/>
      <c r="I21" s="56">
        <f t="shared" si="0"/>
        <v>14.05</v>
      </c>
      <c r="J21" s="1"/>
      <c r="K21" s="1"/>
      <c r="L21" s="1"/>
    </row>
    <row r="22" spans="1:12" ht="15.6" x14ac:dyDescent="0.3">
      <c r="A22" s="89">
        <v>21</v>
      </c>
      <c r="B22" s="11"/>
      <c r="C22" s="5"/>
      <c r="D22" s="5"/>
      <c r="E22" s="5"/>
      <c r="F22" s="5"/>
      <c r="G22" s="5"/>
      <c r="H22" s="41"/>
      <c r="I22" s="56">
        <f t="shared" si="0"/>
        <v>0</v>
      </c>
      <c r="J22" s="1"/>
      <c r="K22" s="1"/>
      <c r="L22" s="1"/>
    </row>
    <row r="23" spans="1:12" ht="15.6" x14ac:dyDescent="0.3">
      <c r="A23" s="89">
        <v>22</v>
      </c>
      <c r="B23" s="11">
        <f>39.59-C23</f>
        <v>28.720000000000002</v>
      </c>
      <c r="C23" s="5">
        <f>2.99+4.99+2.89</f>
        <v>10.870000000000001</v>
      </c>
      <c r="D23" s="5"/>
      <c r="E23" s="5"/>
      <c r="F23" s="5"/>
      <c r="G23" s="5"/>
      <c r="H23" s="41"/>
      <c r="I23" s="56">
        <f t="shared" si="0"/>
        <v>39.590000000000003</v>
      </c>
      <c r="J23" s="1"/>
      <c r="K23" s="1"/>
      <c r="L23" s="1"/>
    </row>
    <row r="24" spans="1:12" ht="15.6" x14ac:dyDescent="0.3">
      <c r="A24" s="25">
        <v>23</v>
      </c>
      <c r="B24" s="11">
        <f>0.25+1.15</f>
        <v>1.4</v>
      </c>
      <c r="C24" s="5"/>
      <c r="D24" s="5"/>
      <c r="E24" s="5"/>
      <c r="F24" s="5"/>
      <c r="G24" s="5"/>
      <c r="H24" s="41"/>
      <c r="I24" s="56">
        <f t="shared" si="0"/>
        <v>1.4</v>
      </c>
      <c r="J24" s="1"/>
      <c r="K24" s="1"/>
      <c r="L24" s="1"/>
    </row>
    <row r="25" spans="1:12" ht="15.6" x14ac:dyDescent="0.3">
      <c r="A25" s="25">
        <v>24</v>
      </c>
      <c r="B25" s="11">
        <f>0.25+1.15</f>
        <v>1.4</v>
      </c>
      <c r="C25" s="5"/>
      <c r="D25" s="5"/>
      <c r="E25" s="5"/>
      <c r="F25" s="5"/>
      <c r="G25" s="5">
        <v>10</v>
      </c>
      <c r="H25" s="41" t="s">
        <v>79</v>
      </c>
      <c r="I25" s="56">
        <f t="shared" si="0"/>
        <v>11.4</v>
      </c>
      <c r="J25" s="1"/>
      <c r="K25" s="1"/>
      <c r="L25" s="1"/>
    </row>
    <row r="26" spans="1:12" ht="15.6" x14ac:dyDescent="0.3">
      <c r="A26" s="25">
        <v>25</v>
      </c>
      <c r="B26" s="11">
        <f>B25</f>
        <v>1.4</v>
      </c>
      <c r="C26" s="5"/>
      <c r="D26" s="5"/>
      <c r="E26" s="5"/>
      <c r="F26" s="5"/>
      <c r="G26" s="5"/>
      <c r="H26" s="41"/>
      <c r="I26" s="56">
        <f t="shared" si="0"/>
        <v>1.4</v>
      </c>
      <c r="J26" s="1"/>
      <c r="K26" s="1"/>
      <c r="L26" s="1"/>
    </row>
    <row r="27" spans="1:12" ht="15.6" x14ac:dyDescent="0.3">
      <c r="A27" s="25">
        <v>26</v>
      </c>
      <c r="B27" s="11">
        <f>B26</f>
        <v>1.4</v>
      </c>
      <c r="C27" s="5"/>
      <c r="D27" s="5"/>
      <c r="E27" s="5"/>
      <c r="F27" s="5"/>
      <c r="G27" s="5"/>
      <c r="H27" s="41"/>
      <c r="I27" s="56">
        <f t="shared" si="0"/>
        <v>1.4</v>
      </c>
      <c r="J27" s="1"/>
      <c r="K27" s="1"/>
      <c r="L27" s="1"/>
    </row>
    <row r="28" spans="1:12" ht="15.6" x14ac:dyDescent="0.3">
      <c r="A28" s="25">
        <v>27</v>
      </c>
      <c r="B28" s="11">
        <f>B27+6.95</f>
        <v>8.35</v>
      </c>
      <c r="C28" s="5"/>
      <c r="D28" s="5"/>
      <c r="E28" s="5"/>
      <c r="F28" s="5">
        <v>2</v>
      </c>
      <c r="G28" s="5"/>
      <c r="H28" s="41" t="s">
        <v>56</v>
      </c>
      <c r="I28" s="56">
        <f t="shared" si="0"/>
        <v>10.35</v>
      </c>
      <c r="J28" s="1"/>
      <c r="K28" s="1"/>
      <c r="L28" s="1"/>
    </row>
    <row r="29" spans="1:12" ht="15.6" x14ac:dyDescent="0.3">
      <c r="A29" s="89">
        <v>28</v>
      </c>
      <c r="B29" s="11">
        <v>9.5</v>
      </c>
      <c r="C29" s="5"/>
      <c r="D29" s="5"/>
      <c r="E29" s="5"/>
      <c r="F29" s="5">
        <v>6</v>
      </c>
      <c r="G29" s="5"/>
      <c r="H29" s="41" t="s">
        <v>80</v>
      </c>
      <c r="I29" s="56">
        <f t="shared" si="0"/>
        <v>15.5</v>
      </c>
      <c r="J29" s="1"/>
      <c r="K29" s="1"/>
      <c r="L29" s="1"/>
    </row>
    <row r="30" spans="1:12" ht="15.6" x14ac:dyDescent="0.3">
      <c r="A30" s="89">
        <v>29</v>
      </c>
      <c r="B30" s="11">
        <f>0.95+0.97</f>
        <v>1.92</v>
      </c>
      <c r="C30" s="5"/>
      <c r="D30" s="5"/>
      <c r="E30" s="5"/>
      <c r="F30" s="5">
        <v>3</v>
      </c>
      <c r="G30" s="5"/>
      <c r="H30" s="41"/>
      <c r="I30" s="56">
        <f t="shared" si="0"/>
        <v>4.92</v>
      </c>
      <c r="J30" s="1"/>
      <c r="K30" s="1"/>
      <c r="L30" s="1"/>
    </row>
    <row r="31" spans="1:12" ht="15.6" x14ac:dyDescent="0.3">
      <c r="A31" s="25">
        <v>30</v>
      </c>
      <c r="B31" s="11">
        <v>1.4</v>
      </c>
      <c r="C31" s="5"/>
      <c r="D31" s="5"/>
      <c r="E31" s="5"/>
      <c r="F31" s="5"/>
      <c r="G31" s="5"/>
      <c r="H31" s="41"/>
      <c r="I31" s="56">
        <f t="shared" si="0"/>
        <v>1.4</v>
      </c>
      <c r="J31" s="1"/>
      <c r="K31" s="1"/>
      <c r="L31" s="1"/>
    </row>
    <row r="32" spans="1:12" ht="16.2" thickBot="1" x14ac:dyDescent="0.35">
      <c r="A32" s="36">
        <v>31</v>
      </c>
      <c r="B32" s="78"/>
      <c r="C32" s="79"/>
      <c r="D32" s="79"/>
      <c r="E32" s="79"/>
      <c r="F32" s="79"/>
      <c r="G32" s="79"/>
      <c r="H32" s="80"/>
      <c r="I32" s="81">
        <f>SUM(B32:H32)</f>
        <v>0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135.38999999999999</v>
      </c>
      <c r="C33" s="49">
        <f>SUM(C2:C32)</f>
        <v>14.16</v>
      </c>
      <c r="D33" s="43">
        <f t="shared" ref="D33:G33" si="4">SUM(D2:D32)</f>
        <v>15</v>
      </c>
      <c r="E33" s="49">
        <f t="shared" si="4"/>
        <v>27.5</v>
      </c>
      <c r="F33" s="49">
        <f t="shared" si="4"/>
        <v>109.5</v>
      </c>
      <c r="G33" s="43">
        <f t="shared" si="4"/>
        <v>90</v>
      </c>
      <c r="H33" s="49">
        <f>SUM(H2:H32)</f>
        <v>0</v>
      </c>
      <c r="I33" s="55">
        <f>SUM(I2:I32)</f>
        <v>391.5499999999999</v>
      </c>
    </row>
    <row r="35" spans="1:9" x14ac:dyDescent="0.3">
      <c r="B35">
        <v>0</v>
      </c>
    </row>
  </sheetData>
  <conditionalFormatting sqref="L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K8" sqref="K8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217</v>
      </c>
    </row>
    <row r="2" spans="1:12" ht="16.2" thickBot="1" x14ac:dyDescent="0.35">
      <c r="A2" s="26">
        <v>1</v>
      </c>
      <c r="B2" s="53">
        <v>1.4</v>
      </c>
      <c r="C2" s="54"/>
      <c r="D2" s="10"/>
      <c r="E2" s="6"/>
      <c r="F2" s="6"/>
      <c r="G2" s="6"/>
      <c r="H2" s="40"/>
      <c r="I2" s="56">
        <f>SUM(B2:H2)</f>
        <v>1.4</v>
      </c>
      <c r="J2" s="1"/>
      <c r="K2" s="17" t="s">
        <v>64</v>
      </c>
      <c r="L2" s="24">
        <f>262-L1</f>
        <v>45</v>
      </c>
    </row>
    <row r="3" spans="1:12" ht="16.2" thickBot="1" x14ac:dyDescent="0.35">
      <c r="A3" s="25">
        <v>2</v>
      </c>
      <c r="B3" s="11">
        <f>1.4+1</f>
        <v>2.4</v>
      </c>
      <c r="C3" s="6"/>
      <c r="D3" s="5">
        <v>15</v>
      </c>
      <c r="E3" s="5"/>
      <c r="F3" s="5">
        <v>6</v>
      </c>
      <c r="G3" s="5"/>
      <c r="H3" s="41"/>
      <c r="I3" s="56">
        <f t="shared" ref="I3:I32" si="0">SUM(B3:H3)</f>
        <v>23.4</v>
      </c>
      <c r="J3" s="1"/>
      <c r="K3" s="17" t="s">
        <v>12</v>
      </c>
      <c r="L3" s="24">
        <v>13</v>
      </c>
    </row>
    <row r="4" spans="1:12" ht="15.6" x14ac:dyDescent="0.3">
      <c r="A4" s="25">
        <v>3</v>
      </c>
      <c r="B4" s="11">
        <f>0.25+1.15+0.25</f>
        <v>1.65</v>
      </c>
      <c r="C4" s="5"/>
      <c r="D4" s="5"/>
      <c r="E4" s="5">
        <v>10</v>
      </c>
      <c r="F4" s="5">
        <v>1</v>
      </c>
      <c r="G4" s="5"/>
      <c r="H4" s="41"/>
      <c r="I4" s="56">
        <f t="shared" si="0"/>
        <v>12.65</v>
      </c>
      <c r="J4" s="1"/>
      <c r="K4" s="3"/>
      <c r="L4" s="1"/>
    </row>
    <row r="5" spans="1:12" ht="15.6" x14ac:dyDescent="0.3">
      <c r="A5" s="25">
        <v>4</v>
      </c>
      <c r="B5" s="11">
        <v>2</v>
      </c>
      <c r="C5" s="5">
        <v>6</v>
      </c>
      <c r="D5" s="5"/>
      <c r="E5" s="5"/>
      <c r="F5" s="5">
        <f>1.9+7.4</f>
        <v>9.3000000000000007</v>
      </c>
      <c r="G5" s="5"/>
      <c r="H5" s="41"/>
      <c r="I5" s="56">
        <f t="shared" si="0"/>
        <v>17.3</v>
      </c>
      <c r="J5" s="1"/>
      <c r="K5" s="3"/>
      <c r="L5" s="1"/>
    </row>
    <row r="6" spans="1:12" ht="15.6" x14ac:dyDescent="0.3">
      <c r="A6" s="89">
        <v>5</v>
      </c>
      <c r="B6" s="11">
        <v>2.4</v>
      </c>
      <c r="C6" s="5"/>
      <c r="D6" s="5"/>
      <c r="E6" s="5"/>
      <c r="F6" s="5">
        <f>2.5+3</f>
        <v>5.5</v>
      </c>
      <c r="G6" s="5"/>
      <c r="H6" s="41"/>
      <c r="I6" s="56">
        <f t="shared" si="0"/>
        <v>7.9</v>
      </c>
      <c r="J6" s="1"/>
      <c r="K6" s="3"/>
      <c r="L6" s="1"/>
    </row>
    <row r="7" spans="1:12" ht="15.6" x14ac:dyDescent="0.3">
      <c r="A7" s="89">
        <v>6</v>
      </c>
      <c r="B7" s="11"/>
      <c r="C7" s="5"/>
      <c r="D7" s="5">
        <v>30</v>
      </c>
      <c r="E7" s="5">
        <f>10-10</f>
        <v>0</v>
      </c>
      <c r="F7" s="5">
        <v>1.9</v>
      </c>
      <c r="G7" s="5"/>
      <c r="H7" s="41"/>
      <c r="I7" s="56">
        <f t="shared" si="0"/>
        <v>31.9</v>
      </c>
      <c r="J7" s="1"/>
      <c r="K7" s="3"/>
      <c r="L7" s="1"/>
    </row>
    <row r="8" spans="1:12" ht="15.6" x14ac:dyDescent="0.3">
      <c r="A8" s="25">
        <v>7</v>
      </c>
      <c r="B8" s="11">
        <f>1.4</f>
        <v>1.4</v>
      </c>
      <c r="C8" s="5"/>
      <c r="D8" s="5"/>
      <c r="E8" s="5"/>
      <c r="F8" s="5"/>
      <c r="G8" s="5">
        <f>22.36+14.23</f>
        <v>36.590000000000003</v>
      </c>
      <c r="H8" s="41" t="s">
        <v>81</v>
      </c>
      <c r="I8" s="56">
        <f t="shared" si="0"/>
        <v>37.99</v>
      </c>
      <c r="J8" s="1"/>
      <c r="K8" s="3"/>
      <c r="L8" s="1"/>
    </row>
    <row r="9" spans="1:12" ht="15.6" x14ac:dyDescent="0.3">
      <c r="A9" s="25">
        <v>8</v>
      </c>
      <c r="B9" s="11">
        <f>1.4+7.1</f>
        <v>8.5</v>
      </c>
      <c r="C9" s="5"/>
      <c r="D9" s="5"/>
      <c r="E9" s="5"/>
      <c r="F9" s="5"/>
      <c r="G9" s="5"/>
      <c r="H9" s="41"/>
      <c r="I9" s="56">
        <f t="shared" si="0"/>
        <v>8.5</v>
      </c>
      <c r="J9" s="1"/>
      <c r="K9" s="3"/>
      <c r="L9" s="1"/>
    </row>
    <row r="10" spans="1:12" ht="15.6" x14ac:dyDescent="0.3">
      <c r="A10" s="25">
        <v>9</v>
      </c>
      <c r="B10" s="11">
        <v>1.4</v>
      </c>
      <c r="C10" s="5"/>
      <c r="D10" s="5"/>
      <c r="E10" s="5"/>
      <c r="F10" s="5"/>
      <c r="G10" s="5">
        <f>7.5+60</f>
        <v>67.5</v>
      </c>
      <c r="H10" s="41" t="s">
        <v>83</v>
      </c>
      <c r="I10" s="56">
        <f t="shared" si="0"/>
        <v>68.900000000000006</v>
      </c>
      <c r="J10" s="1"/>
      <c r="K10" s="3"/>
      <c r="L10" s="1"/>
    </row>
    <row r="11" spans="1:12" ht="15.6" x14ac:dyDescent="0.3">
      <c r="A11" s="25">
        <v>10</v>
      </c>
      <c r="B11" s="11">
        <f>1.4+3.3</f>
        <v>4.6999999999999993</v>
      </c>
      <c r="C11" s="5"/>
      <c r="D11" s="5"/>
      <c r="E11" s="5"/>
      <c r="F11" s="5">
        <v>1.2</v>
      </c>
      <c r="G11" s="5">
        <v>2.5</v>
      </c>
      <c r="H11" s="41"/>
      <c r="I11" s="56">
        <f t="shared" si="0"/>
        <v>8.3999999999999986</v>
      </c>
      <c r="J11" s="1"/>
      <c r="K11" s="3"/>
      <c r="L11" s="1"/>
    </row>
    <row r="12" spans="1:12" ht="16.2" thickBot="1" x14ac:dyDescent="0.35">
      <c r="A12" s="25">
        <v>11</v>
      </c>
      <c r="B12" s="11">
        <v>1.4</v>
      </c>
      <c r="C12" s="5"/>
      <c r="D12" s="5"/>
      <c r="E12" s="5"/>
      <c r="F12" s="5">
        <f>3+21.1+9+2.5+1.5</f>
        <v>37.1</v>
      </c>
      <c r="G12" s="5"/>
      <c r="H12" s="41" t="s">
        <v>82</v>
      </c>
      <c r="I12" s="56">
        <f t="shared" si="0"/>
        <v>38.5</v>
      </c>
      <c r="J12" s="1"/>
      <c r="K12" s="3"/>
      <c r="L12" s="1"/>
    </row>
    <row r="13" spans="1:12" ht="15.6" x14ac:dyDescent="0.3">
      <c r="A13" s="89">
        <v>12</v>
      </c>
      <c r="B13" s="11"/>
      <c r="C13" s="5"/>
      <c r="D13" s="5"/>
      <c r="E13" s="5"/>
      <c r="F13" s="5"/>
      <c r="G13" s="5"/>
      <c r="H13" s="41"/>
      <c r="I13" s="56">
        <f t="shared" si="0"/>
        <v>0</v>
      </c>
      <c r="J13" s="1"/>
      <c r="K13" s="16" t="s">
        <v>8</v>
      </c>
      <c r="L13" s="29">
        <v>916</v>
      </c>
    </row>
    <row r="14" spans="1:12" ht="15.6" x14ac:dyDescent="0.3">
      <c r="A14" s="89">
        <v>13</v>
      </c>
      <c r="B14" s="11">
        <f>37.96-F14-C14</f>
        <v>30.760000000000005</v>
      </c>
      <c r="C14" s="5">
        <v>2.9</v>
      </c>
      <c r="D14" s="5"/>
      <c r="E14" s="5"/>
      <c r="F14" s="5">
        <v>4.3</v>
      </c>
      <c r="G14" s="5"/>
      <c r="H14" s="41"/>
      <c r="I14" s="56">
        <f t="shared" si="0"/>
        <v>37.96</v>
      </c>
      <c r="J14" s="1"/>
      <c r="K14" s="22" t="s">
        <v>9</v>
      </c>
      <c r="L14" s="28">
        <f>SUM(B33:H33)+L1+L2+L3</f>
        <v>851.2</v>
      </c>
    </row>
    <row r="15" spans="1:12" ht="15.6" x14ac:dyDescent="0.3">
      <c r="A15" s="25">
        <v>14</v>
      </c>
      <c r="B15" s="11">
        <f>1.4+0.7</f>
        <v>2.0999999999999996</v>
      </c>
      <c r="C15" s="5"/>
      <c r="D15" s="5"/>
      <c r="E15" s="5"/>
      <c r="F15" s="5"/>
      <c r="G15" s="5"/>
      <c r="H15" s="41"/>
      <c r="I15" s="56">
        <f t="shared" si="0"/>
        <v>2.0999999999999996</v>
      </c>
      <c r="J15" s="1"/>
      <c r="K15" s="20"/>
      <c r="L15" s="19"/>
    </row>
    <row r="16" spans="1:12" ht="16.2" thickBot="1" x14ac:dyDescent="0.35">
      <c r="A16" s="25">
        <v>15</v>
      </c>
      <c r="B16" s="11">
        <f>1.4</f>
        <v>1.4</v>
      </c>
      <c r="C16" s="5"/>
      <c r="D16" s="5"/>
      <c r="E16" s="5"/>
      <c r="F16" s="5"/>
      <c r="G16" s="5"/>
      <c r="H16" s="41"/>
      <c r="I16" s="56">
        <f t="shared" si="0"/>
        <v>1.4</v>
      </c>
      <c r="J16" s="1"/>
      <c r="K16" s="21" t="s">
        <v>10</v>
      </c>
      <c r="L16" s="18">
        <f>L13-L14</f>
        <v>64.799999999999955</v>
      </c>
    </row>
    <row r="17" spans="1:12" ht="15.6" x14ac:dyDescent="0.3">
      <c r="A17" s="25">
        <v>16</v>
      </c>
      <c r="B17" s="11">
        <f>B16</f>
        <v>1.4</v>
      </c>
      <c r="C17" s="5"/>
      <c r="D17" s="5"/>
      <c r="E17" s="5"/>
      <c r="F17" s="5">
        <v>5</v>
      </c>
      <c r="G17" s="5"/>
      <c r="H17" s="41"/>
      <c r="I17" s="56">
        <f t="shared" si="0"/>
        <v>6.4</v>
      </c>
      <c r="J17" s="1"/>
      <c r="K17" s="1"/>
      <c r="L17" s="1"/>
    </row>
    <row r="18" spans="1:12" ht="15.6" x14ac:dyDescent="0.3">
      <c r="A18" s="25">
        <v>17</v>
      </c>
      <c r="B18" s="11">
        <f>B17</f>
        <v>1.4</v>
      </c>
      <c r="C18" s="5"/>
      <c r="D18" s="5"/>
      <c r="E18" s="5"/>
      <c r="F18" s="5"/>
      <c r="G18" s="5">
        <f>15+30</f>
        <v>45</v>
      </c>
      <c r="H18" s="41" t="s">
        <v>84</v>
      </c>
      <c r="I18" s="56">
        <f t="shared" si="0"/>
        <v>46.4</v>
      </c>
      <c r="J18" s="1"/>
      <c r="K18" s="1"/>
      <c r="L18" s="1"/>
    </row>
    <row r="19" spans="1:12" ht="15.6" x14ac:dyDescent="0.3">
      <c r="A19" s="25">
        <v>18</v>
      </c>
      <c r="B19" s="11">
        <f>B18</f>
        <v>1.4</v>
      </c>
      <c r="C19" s="5"/>
      <c r="D19" s="5">
        <v>30</v>
      </c>
      <c r="E19" s="5">
        <v>10</v>
      </c>
      <c r="F19" s="5">
        <f>7.3+8+3</f>
        <v>18.3</v>
      </c>
      <c r="G19" s="5"/>
      <c r="H19" s="41"/>
      <c r="I19" s="56">
        <f t="shared" si="0"/>
        <v>59.7</v>
      </c>
      <c r="J19" s="1"/>
      <c r="K19" s="1"/>
      <c r="L19" s="1"/>
    </row>
    <row r="20" spans="1:12" ht="15.6" x14ac:dyDescent="0.3">
      <c r="A20" s="89">
        <v>19</v>
      </c>
      <c r="B20" s="11"/>
      <c r="C20" s="5"/>
      <c r="D20" s="5"/>
      <c r="E20" s="5"/>
      <c r="F20" s="5">
        <v>4.5</v>
      </c>
      <c r="G20" s="5"/>
      <c r="H20" s="41"/>
      <c r="I20" s="56">
        <f t="shared" si="0"/>
        <v>4.5</v>
      </c>
      <c r="J20" s="1"/>
      <c r="K20" s="1"/>
      <c r="L20" s="1"/>
    </row>
    <row r="21" spans="1:12" ht="15.6" x14ac:dyDescent="0.3">
      <c r="A21" s="89">
        <v>20</v>
      </c>
      <c r="B21" s="11"/>
      <c r="C21" s="5"/>
      <c r="D21" s="5"/>
      <c r="E21" s="5">
        <v>-10</v>
      </c>
      <c r="F21" s="5"/>
      <c r="G21" s="5"/>
      <c r="H21" s="41"/>
      <c r="I21" s="56">
        <f t="shared" si="0"/>
        <v>-10</v>
      </c>
      <c r="J21" s="1"/>
      <c r="K21" s="1"/>
      <c r="L21" s="1"/>
    </row>
    <row r="22" spans="1:12" ht="15.6" x14ac:dyDescent="0.3">
      <c r="A22" s="25">
        <v>21</v>
      </c>
      <c r="B22" s="11">
        <v>1.4</v>
      </c>
      <c r="C22" s="5"/>
      <c r="D22" s="5"/>
      <c r="E22" s="5"/>
      <c r="F22" s="5"/>
      <c r="G22" s="5"/>
      <c r="H22" s="41"/>
      <c r="I22" s="56">
        <f t="shared" si="0"/>
        <v>1.4</v>
      </c>
      <c r="J22" s="1"/>
      <c r="K22" s="1"/>
      <c r="L22" s="1"/>
    </row>
    <row r="23" spans="1:12" ht="15.6" x14ac:dyDescent="0.3">
      <c r="A23" s="25">
        <v>22</v>
      </c>
      <c r="B23" s="11">
        <v>1.4</v>
      </c>
      <c r="C23" s="5"/>
      <c r="D23" s="5"/>
      <c r="E23" s="5"/>
      <c r="F23" s="5"/>
      <c r="G23" s="5"/>
      <c r="H23" s="41"/>
      <c r="I23" s="56">
        <f t="shared" si="0"/>
        <v>1.4</v>
      </c>
      <c r="J23" s="1"/>
      <c r="K23" s="1"/>
      <c r="L23" s="1"/>
    </row>
    <row r="24" spans="1:12" ht="15.6" x14ac:dyDescent="0.3">
      <c r="A24" s="25">
        <v>23</v>
      </c>
      <c r="B24" s="11">
        <v>1.4</v>
      </c>
      <c r="C24" s="5"/>
      <c r="D24" s="5"/>
      <c r="E24" s="5"/>
      <c r="F24" s="5"/>
      <c r="G24" s="5">
        <v>50</v>
      </c>
      <c r="H24" s="41" t="s">
        <v>23</v>
      </c>
      <c r="I24" s="56">
        <f t="shared" si="0"/>
        <v>51.4</v>
      </c>
      <c r="J24" s="1"/>
      <c r="K24" s="1"/>
      <c r="L24" s="1"/>
    </row>
    <row r="25" spans="1:12" ht="15.6" x14ac:dyDescent="0.3">
      <c r="A25" s="25">
        <v>24</v>
      </c>
      <c r="B25" s="11">
        <f>1.4+15</f>
        <v>16.399999999999999</v>
      </c>
      <c r="C25" s="5"/>
      <c r="D25" s="5"/>
      <c r="E25" s="5"/>
      <c r="F25" s="5"/>
      <c r="G25" s="5"/>
      <c r="H25" s="41"/>
      <c r="I25" s="56">
        <f t="shared" si="0"/>
        <v>16.399999999999999</v>
      </c>
      <c r="J25" s="1"/>
      <c r="K25" s="1"/>
      <c r="L25" s="1"/>
    </row>
    <row r="26" spans="1:12" ht="15.6" x14ac:dyDescent="0.3">
      <c r="A26" s="25">
        <v>25</v>
      </c>
      <c r="B26" s="11">
        <f>1.4+7.1</f>
        <v>8.5</v>
      </c>
      <c r="C26" s="5"/>
      <c r="D26" s="5">
        <v>15</v>
      </c>
      <c r="E26" s="5"/>
      <c r="F26" s="5">
        <v>2</v>
      </c>
      <c r="G26" s="5"/>
      <c r="H26" s="41"/>
      <c r="I26" s="56">
        <f t="shared" si="0"/>
        <v>25.5</v>
      </c>
      <c r="J26" s="1"/>
      <c r="K26" s="1"/>
      <c r="L26" s="1"/>
    </row>
    <row r="27" spans="1:12" ht="15.6" x14ac:dyDescent="0.3">
      <c r="A27" s="89">
        <v>26</v>
      </c>
      <c r="B27" s="11">
        <v>10</v>
      </c>
      <c r="C27" s="5"/>
      <c r="D27" s="5"/>
      <c r="E27" s="5">
        <v>6.6</v>
      </c>
      <c r="F27" s="5">
        <f>3.5+15</f>
        <v>18.5</v>
      </c>
      <c r="G27" s="5"/>
      <c r="H27" s="41"/>
      <c r="I27" s="56">
        <f t="shared" si="0"/>
        <v>35.1</v>
      </c>
      <c r="J27" s="1"/>
      <c r="K27" s="1"/>
      <c r="L27" s="1"/>
    </row>
    <row r="28" spans="1:12" ht="15.6" x14ac:dyDescent="0.3">
      <c r="A28" s="89">
        <v>27</v>
      </c>
      <c r="B28" s="11">
        <v>7.5</v>
      </c>
      <c r="C28" s="5"/>
      <c r="D28" s="5"/>
      <c r="E28" s="5"/>
      <c r="F28" s="5"/>
      <c r="G28" s="5"/>
      <c r="H28" s="41"/>
      <c r="I28" s="56">
        <f t="shared" si="0"/>
        <v>7.5</v>
      </c>
      <c r="J28" s="1"/>
      <c r="K28" s="1"/>
      <c r="L28" s="1"/>
    </row>
    <row r="29" spans="1:12" ht="15.6" x14ac:dyDescent="0.3">
      <c r="A29" s="25">
        <v>28</v>
      </c>
      <c r="B29" s="11">
        <f>1.4</f>
        <v>1.4</v>
      </c>
      <c r="C29" s="5"/>
      <c r="D29" s="5"/>
      <c r="E29" s="5"/>
      <c r="F29" s="5"/>
      <c r="G29" s="5"/>
      <c r="H29" s="41"/>
      <c r="I29" s="56">
        <f t="shared" si="0"/>
        <v>1.4</v>
      </c>
      <c r="J29" s="1"/>
      <c r="K29" s="1"/>
      <c r="L29" s="1"/>
    </row>
    <row r="30" spans="1:12" ht="15.6" x14ac:dyDescent="0.3">
      <c r="A30" s="25">
        <v>29</v>
      </c>
      <c r="B30" s="11">
        <v>1.4</v>
      </c>
      <c r="C30" s="5"/>
      <c r="D30" s="5"/>
      <c r="E30" s="5"/>
      <c r="F30" s="5"/>
      <c r="G30" s="5"/>
      <c r="H30" s="41"/>
      <c r="I30" s="56">
        <f t="shared" si="0"/>
        <v>1.4</v>
      </c>
      <c r="J30" s="1"/>
      <c r="K30" s="1"/>
      <c r="L30" s="1"/>
    </row>
    <row r="31" spans="1:12" ht="15.6" x14ac:dyDescent="0.3">
      <c r="A31" s="25">
        <v>30</v>
      </c>
      <c r="B31" s="11">
        <v>1.4</v>
      </c>
      <c r="C31" s="5"/>
      <c r="D31" s="5"/>
      <c r="E31" s="5"/>
      <c r="F31" s="5"/>
      <c r="G31" s="5">
        <v>8.6</v>
      </c>
      <c r="H31" s="41" t="s">
        <v>85</v>
      </c>
      <c r="I31" s="56">
        <f t="shared" si="0"/>
        <v>10</v>
      </c>
      <c r="J31" s="1"/>
      <c r="K31" s="1"/>
      <c r="L31" s="1"/>
    </row>
    <row r="32" spans="1:12" ht="16.2" thickBot="1" x14ac:dyDescent="0.35">
      <c r="A32" s="27">
        <v>31</v>
      </c>
      <c r="B32" s="12">
        <v>1.4</v>
      </c>
      <c r="C32" s="13"/>
      <c r="D32" s="13"/>
      <c r="E32" s="13">
        <v>10</v>
      </c>
      <c r="F32" s="13">
        <v>8</v>
      </c>
      <c r="G32" s="13"/>
      <c r="H32" s="42"/>
      <c r="I32" s="56">
        <f t="shared" si="0"/>
        <v>19.399999999999999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117.91000000000005</v>
      </c>
      <c r="C33" s="49">
        <f>SUM(C2:C32)</f>
        <v>8.9</v>
      </c>
      <c r="D33" s="43">
        <f t="shared" ref="D33:H33" si="1">SUM(D2:D32)</f>
        <v>90</v>
      </c>
      <c r="E33" s="49">
        <f t="shared" si="1"/>
        <v>26.6</v>
      </c>
      <c r="F33" s="49">
        <f t="shared" si="1"/>
        <v>122.6</v>
      </c>
      <c r="G33" s="43">
        <f t="shared" si="1"/>
        <v>210.19</v>
      </c>
      <c r="H33" s="49">
        <f t="shared" si="1"/>
        <v>0</v>
      </c>
      <c r="I33" s="55">
        <f>SUM(I2:I32)</f>
        <v>576.19999999999982</v>
      </c>
    </row>
  </sheetData>
  <conditionalFormatting sqref="L1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0" workbookViewId="0">
      <selection activeCell="B31" sqref="B31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217</v>
      </c>
    </row>
    <row r="2" spans="1:12" ht="16.2" thickBot="1" x14ac:dyDescent="0.35">
      <c r="A2" s="96">
        <v>1</v>
      </c>
      <c r="B2" s="53"/>
      <c r="C2" s="90"/>
      <c r="D2" s="90"/>
      <c r="E2" s="6"/>
      <c r="F2" s="6">
        <v>5</v>
      </c>
      <c r="G2" s="6"/>
      <c r="H2" s="40"/>
      <c r="I2" s="56">
        <f>SUM(B2:H2)</f>
        <v>5</v>
      </c>
      <c r="J2" s="1"/>
      <c r="K2" s="17" t="s">
        <v>64</v>
      </c>
      <c r="L2" s="24">
        <f>253-L1</f>
        <v>36</v>
      </c>
    </row>
    <row r="3" spans="1:12" ht="16.2" thickBot="1" x14ac:dyDescent="0.35">
      <c r="A3" s="89">
        <v>2</v>
      </c>
      <c r="B3" s="11"/>
      <c r="C3" s="5"/>
      <c r="D3" s="5"/>
      <c r="E3" s="5"/>
      <c r="F3" s="5">
        <v>1.2</v>
      </c>
      <c r="G3" s="5"/>
      <c r="H3" s="41"/>
      <c r="I3" s="56">
        <f t="shared" ref="I3:I32" si="0">SUM(B3:H3)</f>
        <v>1.2</v>
      </c>
      <c r="J3" s="1"/>
      <c r="K3" s="17" t="s">
        <v>12</v>
      </c>
      <c r="L3" s="24">
        <v>13</v>
      </c>
    </row>
    <row r="4" spans="1:12" ht="15.6" x14ac:dyDescent="0.3">
      <c r="A4" s="89">
        <v>3</v>
      </c>
      <c r="B4" s="11"/>
      <c r="C4" s="5"/>
      <c r="D4" s="5">
        <v>20</v>
      </c>
      <c r="E4" s="5">
        <v>0</v>
      </c>
      <c r="F4" s="5"/>
      <c r="G4" s="5">
        <v>76.489999999999995</v>
      </c>
      <c r="H4" s="41" t="s">
        <v>86</v>
      </c>
      <c r="I4" s="56">
        <f t="shared" si="0"/>
        <v>96.49</v>
      </c>
      <c r="J4" s="1"/>
      <c r="K4" s="3"/>
      <c r="L4" s="1"/>
    </row>
    <row r="5" spans="1:12" ht="15.6" x14ac:dyDescent="0.3">
      <c r="A5" s="25">
        <v>4</v>
      </c>
      <c r="B5" s="11">
        <v>1.4</v>
      </c>
      <c r="C5" s="5"/>
      <c r="D5" s="5"/>
      <c r="E5" s="5"/>
      <c r="F5" s="5"/>
      <c r="G5" s="5">
        <v>11.75</v>
      </c>
      <c r="H5" s="41" t="s">
        <v>37</v>
      </c>
      <c r="I5" s="56">
        <f t="shared" si="0"/>
        <v>13.15</v>
      </c>
      <c r="J5" s="1"/>
      <c r="K5" s="3"/>
      <c r="L5" s="1"/>
    </row>
    <row r="6" spans="1:12" ht="15.6" x14ac:dyDescent="0.3">
      <c r="A6" s="25">
        <v>5</v>
      </c>
      <c r="B6" s="11">
        <f>1.4+0.75</f>
        <v>2.15</v>
      </c>
      <c r="C6" s="5"/>
      <c r="D6" s="5"/>
      <c r="E6" s="5"/>
      <c r="F6" s="5"/>
      <c r="G6" s="5">
        <f>15+2</f>
        <v>17</v>
      </c>
      <c r="H6" s="41" t="s">
        <v>87</v>
      </c>
      <c r="I6" s="56">
        <f t="shared" si="0"/>
        <v>19.149999999999999</v>
      </c>
      <c r="J6" s="1"/>
      <c r="K6" s="3"/>
      <c r="L6" s="1"/>
    </row>
    <row r="7" spans="1:12" ht="15.6" x14ac:dyDescent="0.3">
      <c r="A7" s="25">
        <v>6</v>
      </c>
      <c r="B7" s="11">
        <f>1.4+0.75+2.15</f>
        <v>4.3</v>
      </c>
      <c r="C7" s="5"/>
      <c r="D7" s="5"/>
      <c r="E7" s="5"/>
      <c r="F7" s="5"/>
      <c r="G7" s="5"/>
      <c r="H7" s="41"/>
      <c r="I7" s="56">
        <f t="shared" si="0"/>
        <v>4.3</v>
      </c>
      <c r="J7" s="1"/>
      <c r="K7" s="3"/>
      <c r="L7" s="1"/>
    </row>
    <row r="8" spans="1:12" ht="15.6" x14ac:dyDescent="0.3">
      <c r="A8" s="25">
        <v>7</v>
      </c>
      <c r="B8" s="11">
        <f t="shared" ref="B8" si="1">1.4+0.75</f>
        <v>2.15</v>
      </c>
      <c r="C8" s="5"/>
      <c r="D8" s="5"/>
      <c r="E8" s="5"/>
      <c r="F8" s="5"/>
      <c r="G8" s="5">
        <v>27.5</v>
      </c>
      <c r="H8" s="41" t="s">
        <v>88</v>
      </c>
      <c r="I8" s="56">
        <f t="shared" si="0"/>
        <v>29.65</v>
      </c>
      <c r="J8" s="1"/>
      <c r="K8" s="3"/>
      <c r="L8" s="1"/>
    </row>
    <row r="9" spans="1:12" ht="15.6" x14ac:dyDescent="0.3">
      <c r="A9" s="25">
        <v>8</v>
      </c>
      <c r="B9" s="11">
        <f>1.4+0.75+6</f>
        <v>8.15</v>
      </c>
      <c r="C9" s="5"/>
      <c r="D9" s="5"/>
      <c r="E9" s="5"/>
      <c r="F9" s="5">
        <v>3</v>
      </c>
      <c r="G9" s="5"/>
      <c r="H9" s="41"/>
      <c r="I9" s="56">
        <f t="shared" si="0"/>
        <v>11.15</v>
      </c>
      <c r="J9" s="1"/>
      <c r="K9" s="3"/>
      <c r="L9" s="1"/>
    </row>
    <row r="10" spans="1:12" ht="15.6" x14ac:dyDescent="0.3">
      <c r="A10" s="89">
        <v>9</v>
      </c>
      <c r="B10" s="11">
        <v>23.21</v>
      </c>
      <c r="C10" s="5"/>
      <c r="D10" s="5"/>
      <c r="E10" s="5"/>
      <c r="F10" s="5"/>
      <c r="G10" s="5"/>
      <c r="H10" s="41"/>
      <c r="I10" s="56">
        <f t="shared" si="0"/>
        <v>23.21</v>
      </c>
      <c r="J10" s="1"/>
      <c r="K10" s="3"/>
      <c r="L10" s="1"/>
    </row>
    <row r="11" spans="1:12" ht="15.6" x14ac:dyDescent="0.3">
      <c r="A11" s="89">
        <v>10</v>
      </c>
      <c r="B11" s="11"/>
      <c r="C11" s="5"/>
      <c r="D11" s="5"/>
      <c r="E11" s="5"/>
      <c r="F11" s="5"/>
      <c r="G11" s="5"/>
      <c r="H11" s="41"/>
      <c r="I11" s="56">
        <f t="shared" si="0"/>
        <v>0</v>
      </c>
      <c r="J11" s="1"/>
      <c r="K11" s="3"/>
      <c r="L11" s="1"/>
    </row>
    <row r="12" spans="1:12" ht="16.2" thickBot="1" x14ac:dyDescent="0.35">
      <c r="A12" s="25">
        <v>11</v>
      </c>
      <c r="B12" s="11">
        <v>1.4</v>
      </c>
      <c r="C12" s="5"/>
      <c r="D12" s="5"/>
      <c r="E12" s="5"/>
      <c r="F12" s="5"/>
      <c r="G12" s="5"/>
      <c r="H12" s="41"/>
      <c r="I12" s="56">
        <f t="shared" si="0"/>
        <v>1.4</v>
      </c>
      <c r="J12" s="1"/>
      <c r="K12" s="3"/>
      <c r="L12" s="1"/>
    </row>
    <row r="13" spans="1:12" ht="15.6" x14ac:dyDescent="0.3">
      <c r="A13" s="25">
        <v>12</v>
      </c>
      <c r="B13" s="11">
        <v>1.4</v>
      </c>
      <c r="C13" s="5"/>
      <c r="D13" s="5"/>
      <c r="E13" s="5"/>
      <c r="F13" s="5"/>
      <c r="G13" s="5">
        <v>15</v>
      </c>
      <c r="H13" s="41" t="s">
        <v>87</v>
      </c>
      <c r="I13" s="56">
        <f t="shared" si="0"/>
        <v>16.399999999999999</v>
      </c>
      <c r="J13" s="1"/>
      <c r="K13" s="16" t="s">
        <v>8</v>
      </c>
      <c r="L13" s="29">
        <v>1795</v>
      </c>
    </row>
    <row r="14" spans="1:12" ht="15.6" x14ac:dyDescent="0.3">
      <c r="A14" s="25">
        <v>13</v>
      </c>
      <c r="B14" s="11">
        <v>1.4</v>
      </c>
      <c r="C14" s="5"/>
      <c r="D14" s="5"/>
      <c r="E14" s="5"/>
      <c r="F14" s="5"/>
      <c r="G14" s="5"/>
      <c r="H14" s="41"/>
      <c r="I14" s="56">
        <f t="shared" si="0"/>
        <v>1.4</v>
      </c>
      <c r="J14" s="1"/>
      <c r="K14" s="22" t="s">
        <v>9</v>
      </c>
      <c r="L14" s="28">
        <f>SUM(B33:H33)+L1+L2+L3</f>
        <v>877</v>
      </c>
    </row>
    <row r="15" spans="1:12" ht="15.6" x14ac:dyDescent="0.3">
      <c r="A15" s="25">
        <v>14</v>
      </c>
      <c r="B15" s="11">
        <v>1.4</v>
      </c>
      <c r="C15" s="5"/>
      <c r="D15" s="5"/>
      <c r="E15" s="5"/>
      <c r="F15" s="5"/>
      <c r="G15" s="5"/>
      <c r="H15" s="41"/>
      <c r="I15" s="56">
        <f t="shared" si="0"/>
        <v>1.4</v>
      </c>
      <c r="J15" s="1"/>
      <c r="K15" s="20"/>
      <c r="L15" s="19"/>
    </row>
    <row r="16" spans="1:12" ht="16.2" thickBot="1" x14ac:dyDescent="0.35">
      <c r="A16" s="25">
        <v>15</v>
      </c>
      <c r="B16" s="11">
        <f>1.4+7</f>
        <v>8.4</v>
      </c>
      <c r="C16" s="5"/>
      <c r="D16" s="5"/>
      <c r="E16" s="5"/>
      <c r="F16" s="5">
        <v>5</v>
      </c>
      <c r="G16" s="5"/>
      <c r="H16" s="41"/>
      <c r="I16" s="56">
        <f t="shared" si="0"/>
        <v>13.4</v>
      </c>
      <c r="J16" s="1"/>
      <c r="K16" s="21" t="s">
        <v>10</v>
      </c>
      <c r="L16" s="18">
        <f>L13-L14</f>
        <v>918</v>
      </c>
    </row>
    <row r="17" spans="1:12" ht="15.6" x14ac:dyDescent="0.3">
      <c r="A17" s="89">
        <v>16</v>
      </c>
      <c r="B17" s="11">
        <v>23</v>
      </c>
      <c r="C17" s="5"/>
      <c r="D17" s="5"/>
      <c r="E17" s="5"/>
      <c r="F17" s="5">
        <f>17+5</f>
        <v>22</v>
      </c>
      <c r="G17" s="5">
        <f>8+17+15</f>
        <v>40</v>
      </c>
      <c r="H17" s="41" t="s">
        <v>89</v>
      </c>
      <c r="I17" s="56">
        <f t="shared" si="0"/>
        <v>85</v>
      </c>
      <c r="J17" s="1"/>
      <c r="K17" s="1"/>
      <c r="L17" s="1"/>
    </row>
    <row r="18" spans="1:12" ht="15.6" x14ac:dyDescent="0.3">
      <c r="A18" s="89">
        <v>17</v>
      </c>
      <c r="B18" s="11"/>
      <c r="C18" s="5"/>
      <c r="D18" s="5"/>
      <c r="E18" s="5"/>
      <c r="F18" s="5"/>
      <c r="G18" s="5"/>
      <c r="H18" s="41"/>
      <c r="I18" s="56">
        <f t="shared" si="0"/>
        <v>0</v>
      </c>
      <c r="J18" s="1"/>
      <c r="K18" s="1"/>
      <c r="L18" s="1"/>
    </row>
    <row r="19" spans="1:12" ht="15.6" x14ac:dyDescent="0.3">
      <c r="A19" s="25">
        <v>18</v>
      </c>
      <c r="B19" s="11">
        <v>1.4</v>
      </c>
      <c r="C19" s="5"/>
      <c r="D19" s="5"/>
      <c r="E19" s="5"/>
      <c r="F19" s="5"/>
      <c r="G19" s="5"/>
      <c r="H19" s="41"/>
      <c r="I19" s="56">
        <f t="shared" si="0"/>
        <v>1.4</v>
      </c>
      <c r="J19" s="1"/>
      <c r="K19" s="1"/>
      <c r="L19" s="1"/>
    </row>
    <row r="20" spans="1:12" ht="15.6" x14ac:dyDescent="0.3">
      <c r="A20" s="25">
        <v>19</v>
      </c>
      <c r="B20" s="11">
        <f>1.4+0.65</f>
        <v>2.0499999999999998</v>
      </c>
      <c r="C20" s="5"/>
      <c r="D20" s="5"/>
      <c r="E20" s="5"/>
      <c r="F20" s="5"/>
      <c r="G20" s="5"/>
      <c r="H20" s="41"/>
      <c r="I20" s="56">
        <f t="shared" si="0"/>
        <v>2.0499999999999998</v>
      </c>
      <c r="J20" s="1"/>
      <c r="K20" s="1"/>
      <c r="L20" s="1"/>
    </row>
    <row r="21" spans="1:12" ht="15.6" x14ac:dyDescent="0.3">
      <c r="A21" s="25">
        <v>20</v>
      </c>
      <c r="B21" s="11">
        <f t="shared" ref="B21:B22" si="2">1.4+0.65</f>
        <v>2.0499999999999998</v>
      </c>
      <c r="C21" s="5"/>
      <c r="D21" s="5"/>
      <c r="E21" s="5"/>
      <c r="F21" s="5"/>
      <c r="G21" s="5">
        <v>50</v>
      </c>
      <c r="H21" s="41" t="s">
        <v>23</v>
      </c>
      <c r="I21" s="56">
        <f t="shared" si="0"/>
        <v>52.05</v>
      </c>
      <c r="J21" s="1"/>
      <c r="K21" s="1"/>
      <c r="L21" s="1"/>
    </row>
    <row r="22" spans="1:12" ht="15.6" x14ac:dyDescent="0.3">
      <c r="A22" s="25">
        <v>21</v>
      </c>
      <c r="B22" s="11">
        <f t="shared" si="2"/>
        <v>2.0499999999999998</v>
      </c>
      <c r="C22" s="5"/>
      <c r="D22" s="5">
        <v>20</v>
      </c>
      <c r="E22" s="5">
        <v>10</v>
      </c>
      <c r="F22" s="5"/>
      <c r="G22" s="5"/>
      <c r="H22" s="41"/>
      <c r="I22" s="56">
        <f t="shared" si="0"/>
        <v>32.049999999999997</v>
      </c>
      <c r="J22" s="1"/>
      <c r="K22" s="1"/>
      <c r="L22" s="1"/>
    </row>
    <row r="23" spans="1:12" ht="15.6" x14ac:dyDescent="0.3">
      <c r="A23" s="25">
        <v>22</v>
      </c>
      <c r="B23" s="11"/>
      <c r="C23" s="5"/>
      <c r="D23" s="5"/>
      <c r="E23" s="5"/>
      <c r="F23" s="5"/>
      <c r="G23" s="5"/>
      <c r="H23" s="41"/>
      <c r="I23" s="56">
        <f t="shared" si="0"/>
        <v>0</v>
      </c>
      <c r="J23" s="1"/>
      <c r="K23" s="1"/>
      <c r="L23" s="1"/>
    </row>
    <row r="24" spans="1:12" ht="15.6" x14ac:dyDescent="0.3">
      <c r="A24" s="89">
        <v>23</v>
      </c>
      <c r="B24" s="11"/>
      <c r="C24" s="5"/>
      <c r="D24" s="5"/>
      <c r="E24" s="5"/>
      <c r="F24" s="5">
        <f>50+3.7</f>
        <v>53.7</v>
      </c>
      <c r="G24" s="5">
        <v>31</v>
      </c>
      <c r="H24" s="41" t="s">
        <v>90</v>
      </c>
      <c r="I24" s="56">
        <f t="shared" si="0"/>
        <v>84.7</v>
      </c>
      <c r="J24" s="1"/>
      <c r="K24" s="1"/>
      <c r="L24" s="1"/>
    </row>
    <row r="25" spans="1:12" ht="15.6" x14ac:dyDescent="0.3">
      <c r="A25" s="89">
        <v>24</v>
      </c>
      <c r="B25" s="11"/>
      <c r="C25" s="5"/>
      <c r="D25" s="5">
        <v>20</v>
      </c>
      <c r="E25" s="5">
        <v>10</v>
      </c>
      <c r="F25" s="5"/>
      <c r="G25" s="5"/>
      <c r="H25" s="41"/>
      <c r="I25" s="56">
        <f t="shared" si="0"/>
        <v>30</v>
      </c>
      <c r="J25" s="1"/>
      <c r="K25" s="1"/>
      <c r="L25" s="1"/>
    </row>
    <row r="26" spans="1:12" ht="15.6" x14ac:dyDescent="0.3">
      <c r="A26" s="25">
        <v>25</v>
      </c>
      <c r="B26" s="11">
        <f>1.4+0.65</f>
        <v>2.0499999999999998</v>
      </c>
      <c r="C26" s="5"/>
      <c r="D26" s="5"/>
      <c r="E26" s="5"/>
      <c r="F26" s="5"/>
      <c r="G26" s="5">
        <v>45</v>
      </c>
      <c r="H26" s="41" t="s">
        <v>92</v>
      </c>
      <c r="I26" s="56">
        <f t="shared" si="0"/>
        <v>47.05</v>
      </c>
      <c r="J26" s="1"/>
      <c r="K26" s="1"/>
      <c r="L26" s="1"/>
    </row>
    <row r="27" spans="1:12" ht="15.6" x14ac:dyDescent="0.3">
      <c r="A27" s="25">
        <v>26</v>
      </c>
      <c r="B27" s="11">
        <f>B26</f>
        <v>2.0499999999999998</v>
      </c>
      <c r="C27" s="5"/>
      <c r="D27" s="5"/>
      <c r="E27" s="5"/>
      <c r="F27" s="5"/>
      <c r="G27" s="5"/>
      <c r="H27" s="41"/>
      <c r="I27" s="56">
        <f t="shared" si="0"/>
        <v>2.0499999999999998</v>
      </c>
      <c r="J27" s="1"/>
      <c r="K27" s="1"/>
      <c r="L27" s="1"/>
    </row>
    <row r="28" spans="1:12" ht="15.6" x14ac:dyDescent="0.3">
      <c r="A28" s="25">
        <v>27</v>
      </c>
      <c r="B28" s="11">
        <f>B27</f>
        <v>2.0499999999999998</v>
      </c>
      <c r="C28" s="5"/>
      <c r="D28" s="5"/>
      <c r="E28" s="5"/>
      <c r="F28" s="5"/>
      <c r="G28" s="5"/>
      <c r="H28" s="41"/>
      <c r="I28" s="56">
        <f t="shared" si="0"/>
        <v>2.0499999999999998</v>
      </c>
      <c r="J28" s="1"/>
      <c r="K28" s="1"/>
      <c r="L28" s="1"/>
    </row>
    <row r="29" spans="1:12" ht="15.6" x14ac:dyDescent="0.3">
      <c r="A29" s="25">
        <v>28</v>
      </c>
      <c r="B29" s="11">
        <v>0.9</v>
      </c>
      <c r="C29" s="5"/>
      <c r="D29" s="5"/>
      <c r="E29" s="5"/>
      <c r="F29" s="5"/>
      <c r="G29" s="5"/>
      <c r="H29" s="41"/>
      <c r="I29" s="56">
        <f t="shared" si="0"/>
        <v>0.9</v>
      </c>
      <c r="J29" s="1"/>
      <c r="K29" s="1"/>
      <c r="L29" s="1"/>
    </row>
    <row r="30" spans="1:12" ht="15.6" x14ac:dyDescent="0.3">
      <c r="A30" s="25">
        <v>29</v>
      </c>
      <c r="B30" s="11">
        <v>0.9</v>
      </c>
      <c r="C30" s="5"/>
      <c r="D30" s="5"/>
      <c r="E30" s="5"/>
      <c r="F30" s="5">
        <v>1</v>
      </c>
      <c r="G30" s="5">
        <v>20</v>
      </c>
      <c r="H30" s="41" t="s">
        <v>91</v>
      </c>
      <c r="I30" s="56">
        <f t="shared" si="0"/>
        <v>21.9</v>
      </c>
      <c r="J30" s="1"/>
      <c r="K30" s="1"/>
      <c r="L30" s="1"/>
    </row>
    <row r="31" spans="1:12" ht="15.6" x14ac:dyDescent="0.3">
      <c r="A31" s="89">
        <v>30</v>
      </c>
      <c r="B31" s="11">
        <f>7.21+5.29</f>
        <v>12.5</v>
      </c>
      <c r="C31" s="5"/>
      <c r="D31" s="5"/>
      <c r="E31" s="5"/>
      <c r="F31" s="5"/>
      <c r="G31" s="5"/>
      <c r="H31" s="41"/>
      <c r="I31" s="56">
        <f t="shared" si="0"/>
        <v>12.5</v>
      </c>
      <c r="J31" s="1"/>
      <c r="K31" s="1"/>
      <c r="L31" s="1"/>
    </row>
    <row r="32" spans="1:12" ht="16.2" thickBot="1" x14ac:dyDescent="0.35">
      <c r="A32" s="36">
        <v>31</v>
      </c>
      <c r="B32" s="78"/>
      <c r="C32" s="79"/>
      <c r="D32" s="79"/>
      <c r="E32" s="79"/>
      <c r="F32" s="79"/>
      <c r="G32" s="79"/>
      <c r="H32" s="80"/>
      <c r="I32" s="81">
        <f t="shared" si="0"/>
        <v>0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106.35999999999999</v>
      </c>
      <c r="C33" s="49">
        <f>SUM(C2:C32)</f>
        <v>0</v>
      </c>
      <c r="D33" s="43">
        <f t="shared" ref="D33:H33" si="3">SUM(D2:D32)</f>
        <v>60</v>
      </c>
      <c r="E33" s="49">
        <f t="shared" si="3"/>
        <v>20</v>
      </c>
      <c r="F33" s="49">
        <f t="shared" si="3"/>
        <v>90.9</v>
      </c>
      <c r="G33" s="43">
        <f t="shared" si="3"/>
        <v>333.74</v>
      </c>
      <c r="H33" s="49">
        <f t="shared" si="3"/>
        <v>0</v>
      </c>
      <c r="I33" s="55">
        <f>SUM(I2:I32)</f>
        <v>610.99999999999989</v>
      </c>
    </row>
  </sheetData>
  <conditionalFormatting sqref="L1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4" workbookViewId="0">
      <selection activeCell="H32" sqref="H32"/>
    </sheetView>
  </sheetViews>
  <sheetFormatPr defaultRowHeight="14.4" x14ac:dyDescent="0.3"/>
  <cols>
    <col min="2" max="2" width="14.88671875" bestFit="1" customWidth="1"/>
    <col min="3" max="3" width="9.5546875" bestFit="1" customWidth="1"/>
    <col min="4" max="4" width="15.109375" bestFit="1" customWidth="1"/>
    <col min="5" max="5" width="10.109375" bestFit="1" customWidth="1"/>
    <col min="6" max="7" width="8.6640625" bestFit="1" customWidth="1"/>
    <col min="8" max="8" width="21.88671875" bestFit="1" customWidth="1"/>
    <col min="11" max="11" width="23.109375" bestFit="1" customWidth="1"/>
  </cols>
  <sheetData>
    <row r="1" spans="1:12" ht="16.2" thickBot="1" x14ac:dyDescent="0.35">
      <c r="A1" s="51" t="s">
        <v>0</v>
      </c>
      <c r="B1" s="51" t="s">
        <v>1</v>
      </c>
      <c r="C1" s="50" t="s">
        <v>2</v>
      </c>
      <c r="D1" s="51" t="s">
        <v>3</v>
      </c>
      <c r="E1" s="51" t="s">
        <v>14</v>
      </c>
      <c r="F1" s="51" t="s">
        <v>4</v>
      </c>
      <c r="G1" s="51" t="s">
        <v>6</v>
      </c>
      <c r="H1" s="52" t="s">
        <v>7</v>
      </c>
      <c r="I1" s="57" t="s">
        <v>5</v>
      </c>
      <c r="J1" s="1"/>
      <c r="K1" s="16" t="s">
        <v>11</v>
      </c>
      <c r="L1" s="23">
        <v>217</v>
      </c>
    </row>
    <row r="2" spans="1:12" ht="16.2" thickBot="1" x14ac:dyDescent="0.35">
      <c r="A2" s="82">
        <v>1</v>
      </c>
      <c r="B2" s="98">
        <v>15</v>
      </c>
      <c r="C2" s="90"/>
      <c r="D2" s="10"/>
      <c r="E2" s="6"/>
      <c r="F2" s="6"/>
      <c r="G2" s="6"/>
      <c r="H2" s="40"/>
      <c r="I2" s="56">
        <f>SUM(B2:H2)</f>
        <v>15</v>
      </c>
      <c r="J2" s="1"/>
      <c r="K2" s="17" t="s">
        <v>64</v>
      </c>
      <c r="L2" s="24">
        <f>267.6-L1</f>
        <v>50.600000000000023</v>
      </c>
    </row>
    <row r="3" spans="1:12" ht="16.2" thickBot="1" x14ac:dyDescent="0.35">
      <c r="A3" s="25">
        <v>2</v>
      </c>
      <c r="B3" s="11">
        <f>0.25+1.15</f>
        <v>1.4</v>
      </c>
      <c r="C3" s="6"/>
      <c r="D3" s="5"/>
      <c r="E3" s="5"/>
      <c r="F3" s="5"/>
      <c r="G3" s="5"/>
      <c r="H3" s="41"/>
      <c r="I3" s="56">
        <f t="shared" ref="I3:I32" si="0">SUM(B3:H3)</f>
        <v>1.4</v>
      </c>
      <c r="J3" s="1"/>
      <c r="K3" s="17" t="s">
        <v>12</v>
      </c>
      <c r="L3" s="24">
        <v>13</v>
      </c>
    </row>
    <row r="4" spans="1:12" ht="15.6" x14ac:dyDescent="0.3">
      <c r="A4" s="25">
        <v>3</v>
      </c>
      <c r="B4" s="11">
        <f>0.25+1.15</f>
        <v>1.4</v>
      </c>
      <c r="C4" s="5"/>
      <c r="D4" s="5"/>
      <c r="E4" s="5"/>
      <c r="F4" s="5"/>
      <c r="G4" s="5"/>
      <c r="H4" s="41"/>
      <c r="I4" s="56">
        <f t="shared" si="0"/>
        <v>1.4</v>
      </c>
      <c r="J4" s="1"/>
      <c r="K4" s="3"/>
      <c r="L4" s="1"/>
    </row>
    <row r="5" spans="1:12" ht="15.6" x14ac:dyDescent="0.3">
      <c r="A5" s="25">
        <v>4</v>
      </c>
      <c r="B5" s="11">
        <f>0.25+1.15</f>
        <v>1.4</v>
      </c>
      <c r="C5" s="5"/>
      <c r="D5" s="5"/>
      <c r="E5" s="5"/>
      <c r="F5" s="5"/>
      <c r="G5" s="5"/>
      <c r="H5" s="41"/>
      <c r="I5" s="56">
        <f t="shared" si="0"/>
        <v>1.4</v>
      </c>
      <c r="J5" s="1"/>
      <c r="K5" s="3"/>
      <c r="L5" s="1"/>
    </row>
    <row r="6" spans="1:12" ht="15.6" x14ac:dyDescent="0.3">
      <c r="A6" s="25">
        <v>5</v>
      </c>
      <c r="B6" s="11">
        <f>0.25+1.15</f>
        <v>1.4</v>
      </c>
      <c r="C6" s="5"/>
      <c r="D6" s="5"/>
      <c r="E6" s="5"/>
      <c r="F6" s="5"/>
      <c r="G6" s="5"/>
      <c r="H6" s="41"/>
      <c r="I6" s="56">
        <f t="shared" si="0"/>
        <v>1.4</v>
      </c>
      <c r="J6" s="1"/>
      <c r="K6" s="3"/>
      <c r="L6" s="1"/>
    </row>
    <row r="7" spans="1:12" ht="15.6" x14ac:dyDescent="0.3">
      <c r="A7" s="25">
        <v>6</v>
      </c>
      <c r="B7" s="11">
        <f>0.25+1.15</f>
        <v>1.4</v>
      </c>
      <c r="C7" s="5"/>
      <c r="D7" s="5"/>
      <c r="E7" s="5">
        <f>11.2+7.1</f>
        <v>18.299999999999997</v>
      </c>
      <c r="F7" s="5"/>
      <c r="G7" s="5"/>
      <c r="H7" s="41"/>
      <c r="I7" s="56">
        <f t="shared" si="0"/>
        <v>19.699999999999996</v>
      </c>
      <c r="J7" s="1"/>
      <c r="K7" s="3"/>
      <c r="L7" s="1"/>
    </row>
    <row r="8" spans="1:12" ht="15.6" x14ac:dyDescent="0.3">
      <c r="A8" s="89">
        <v>7</v>
      </c>
      <c r="B8" s="11"/>
      <c r="C8" s="5"/>
      <c r="D8" s="5"/>
      <c r="E8" s="5"/>
      <c r="F8" s="5"/>
      <c r="G8" s="5">
        <v>9</v>
      </c>
      <c r="H8" s="41" t="s">
        <v>93</v>
      </c>
      <c r="I8" s="56">
        <f t="shared" si="0"/>
        <v>9</v>
      </c>
      <c r="J8" s="1"/>
      <c r="K8" s="3"/>
      <c r="L8" s="1"/>
    </row>
    <row r="9" spans="1:12" ht="15.6" x14ac:dyDescent="0.3">
      <c r="A9" s="89">
        <v>8</v>
      </c>
      <c r="B9" s="11"/>
      <c r="C9" s="5"/>
      <c r="D9" s="5"/>
      <c r="E9" s="5">
        <f>13.5+4.2</f>
        <v>17.7</v>
      </c>
      <c r="F9" s="5"/>
      <c r="G9" s="5"/>
      <c r="H9" s="41"/>
      <c r="I9" s="56">
        <f t="shared" si="0"/>
        <v>17.7</v>
      </c>
      <c r="J9" s="1"/>
      <c r="K9" s="3"/>
      <c r="L9" s="1"/>
    </row>
    <row r="10" spans="1:12" ht="15.6" x14ac:dyDescent="0.3">
      <c r="A10" s="25">
        <v>9</v>
      </c>
      <c r="B10" s="11">
        <v>1.4</v>
      </c>
      <c r="C10" s="5"/>
      <c r="D10" s="5"/>
      <c r="E10" s="5"/>
      <c r="F10" s="5"/>
      <c r="G10" s="5"/>
      <c r="H10" s="41"/>
      <c r="I10" s="56">
        <f t="shared" si="0"/>
        <v>1.4</v>
      </c>
      <c r="J10" s="1"/>
      <c r="K10" s="3"/>
      <c r="L10" s="1"/>
    </row>
    <row r="11" spans="1:12" ht="15.6" x14ac:dyDescent="0.3">
      <c r="A11" s="25">
        <v>10</v>
      </c>
      <c r="B11" s="11">
        <v>1.4</v>
      </c>
      <c r="C11" s="5"/>
      <c r="D11" s="5"/>
      <c r="E11" s="5"/>
      <c r="F11" s="5"/>
      <c r="G11" s="5"/>
      <c r="H11" s="41"/>
      <c r="I11" s="56">
        <f t="shared" si="0"/>
        <v>1.4</v>
      </c>
      <c r="J11" s="1"/>
      <c r="K11" s="3"/>
      <c r="L11" s="1"/>
    </row>
    <row r="12" spans="1:12" ht="16.2" thickBot="1" x14ac:dyDescent="0.35">
      <c r="A12" s="25">
        <v>11</v>
      </c>
      <c r="B12" s="11">
        <v>1.4</v>
      </c>
      <c r="C12" s="5"/>
      <c r="D12" s="5"/>
      <c r="E12" s="5"/>
      <c r="F12" s="5"/>
      <c r="G12" s="5"/>
      <c r="H12" s="41"/>
      <c r="I12" s="56">
        <f t="shared" si="0"/>
        <v>1.4</v>
      </c>
      <c r="J12" s="1"/>
      <c r="K12" s="3"/>
      <c r="L12" s="1"/>
    </row>
    <row r="13" spans="1:12" ht="15.6" x14ac:dyDescent="0.3">
      <c r="A13" s="25">
        <v>12</v>
      </c>
      <c r="B13" s="11">
        <f>1.4+7.25</f>
        <v>8.65</v>
      </c>
      <c r="C13" s="5"/>
      <c r="D13" s="101"/>
      <c r="E13" s="5"/>
      <c r="F13" s="5"/>
      <c r="G13" s="5"/>
      <c r="H13" s="41"/>
      <c r="I13" s="56">
        <f t="shared" si="0"/>
        <v>8.65</v>
      </c>
      <c r="J13" s="1"/>
      <c r="K13" s="16" t="s">
        <v>8</v>
      </c>
      <c r="L13" s="29">
        <f>916.5+200</f>
        <v>1116.5</v>
      </c>
    </row>
    <row r="14" spans="1:12" ht="15.6" x14ac:dyDescent="0.3">
      <c r="A14" s="25">
        <v>13</v>
      </c>
      <c r="B14" s="11">
        <f>1.4+1.6</f>
        <v>3</v>
      </c>
      <c r="C14" s="5"/>
      <c r="D14" s="5"/>
      <c r="E14" s="5">
        <v>3.5</v>
      </c>
      <c r="F14" s="5">
        <v>22</v>
      </c>
      <c r="G14" s="5"/>
      <c r="H14" s="41" t="s">
        <v>94</v>
      </c>
      <c r="I14" s="56">
        <f t="shared" si="0"/>
        <v>28.5</v>
      </c>
      <c r="J14" s="1"/>
      <c r="K14" s="22" t="s">
        <v>9</v>
      </c>
      <c r="L14" s="28">
        <f>SUM(B33:H33)+L1+L2+L3</f>
        <v>946.48</v>
      </c>
    </row>
    <row r="15" spans="1:12" ht="15.6" x14ac:dyDescent="0.3">
      <c r="A15" s="89">
        <v>14</v>
      </c>
      <c r="B15" s="11">
        <f>6.5+21.4</f>
        <v>27.9</v>
      </c>
      <c r="C15" s="5"/>
      <c r="D15" s="5"/>
      <c r="E15" s="5"/>
      <c r="F15" s="5"/>
      <c r="G15" s="5"/>
      <c r="H15" s="41"/>
      <c r="I15" s="56">
        <f t="shared" si="0"/>
        <v>27.9</v>
      </c>
      <c r="J15" s="1"/>
      <c r="K15" s="20"/>
      <c r="L15" s="97"/>
    </row>
    <row r="16" spans="1:12" ht="16.2" thickBot="1" x14ac:dyDescent="0.35">
      <c r="A16" s="89">
        <v>15</v>
      </c>
      <c r="B16" s="11">
        <v>3.4</v>
      </c>
      <c r="C16" s="5"/>
      <c r="D16" s="5"/>
      <c r="E16" s="5"/>
      <c r="F16" s="5"/>
      <c r="G16" s="5"/>
      <c r="H16" s="41"/>
      <c r="I16" s="56">
        <f t="shared" si="0"/>
        <v>3.4</v>
      </c>
      <c r="J16" s="1"/>
      <c r="K16" s="21" t="s">
        <v>10</v>
      </c>
      <c r="L16" s="18">
        <f>L13-L14</f>
        <v>170.01999999999998</v>
      </c>
    </row>
    <row r="17" spans="1:12" ht="15.6" x14ac:dyDescent="0.3">
      <c r="A17" s="25">
        <v>16</v>
      </c>
      <c r="B17" s="11">
        <f>1.4+0.7</f>
        <v>2.0999999999999996</v>
      </c>
      <c r="C17" s="5"/>
      <c r="D17" s="5"/>
      <c r="E17" s="5"/>
      <c r="F17" s="5"/>
      <c r="G17" s="101"/>
      <c r="H17" s="41"/>
      <c r="I17" s="56">
        <f t="shared" si="0"/>
        <v>2.0999999999999996</v>
      </c>
      <c r="J17" s="1"/>
      <c r="K17" s="1"/>
      <c r="L17" s="1"/>
    </row>
    <row r="18" spans="1:12" ht="15.6" x14ac:dyDescent="0.3">
      <c r="A18" s="25">
        <v>17</v>
      </c>
      <c r="B18" s="11">
        <f>1.4</f>
        <v>1.4</v>
      </c>
      <c r="C18" s="5"/>
      <c r="D18" s="5"/>
      <c r="E18" s="5"/>
      <c r="F18" s="5"/>
      <c r="G18" s="5"/>
      <c r="H18" s="41"/>
      <c r="I18" s="56">
        <f t="shared" si="0"/>
        <v>1.4</v>
      </c>
      <c r="J18" s="1"/>
      <c r="K18" s="1"/>
      <c r="L18" s="1"/>
    </row>
    <row r="19" spans="1:12" ht="15.6" x14ac:dyDescent="0.3">
      <c r="A19" s="25">
        <v>18</v>
      </c>
      <c r="B19" s="11">
        <f>1.4+7</f>
        <v>8.4</v>
      </c>
      <c r="C19" s="5"/>
      <c r="D19" s="5"/>
      <c r="E19" s="5"/>
      <c r="F19" s="5"/>
      <c r="G19" s="5">
        <v>50</v>
      </c>
      <c r="H19" s="41" t="s">
        <v>96</v>
      </c>
      <c r="I19" s="56">
        <f t="shared" si="0"/>
        <v>58.4</v>
      </c>
      <c r="J19" s="1"/>
      <c r="K19" s="1"/>
      <c r="L19" s="1"/>
    </row>
    <row r="20" spans="1:12" ht="15.6" x14ac:dyDescent="0.3">
      <c r="A20" s="25">
        <v>19</v>
      </c>
      <c r="B20" s="11">
        <v>1.4</v>
      </c>
      <c r="C20" s="5"/>
      <c r="D20" s="5"/>
      <c r="E20" s="5"/>
      <c r="F20" s="5">
        <v>3</v>
      </c>
      <c r="G20" s="5"/>
      <c r="H20" s="41"/>
      <c r="I20" s="56">
        <f t="shared" si="0"/>
        <v>4.4000000000000004</v>
      </c>
      <c r="J20" s="1"/>
      <c r="K20" s="1"/>
      <c r="L20" s="1"/>
    </row>
    <row r="21" spans="1:12" ht="15.6" x14ac:dyDescent="0.3">
      <c r="A21" s="25">
        <v>20</v>
      </c>
      <c r="B21" s="11">
        <v>1.4</v>
      </c>
      <c r="C21" s="5"/>
      <c r="D21" s="5"/>
      <c r="E21" s="5"/>
      <c r="F21" s="5"/>
      <c r="G21" s="5">
        <f>4+8+21.47+14.28+26+5</f>
        <v>78.75</v>
      </c>
      <c r="H21" s="41" t="s">
        <v>95</v>
      </c>
      <c r="I21" s="56">
        <f t="shared" si="0"/>
        <v>80.150000000000006</v>
      </c>
      <c r="J21" s="1"/>
      <c r="K21" s="1"/>
      <c r="L21" s="1"/>
    </row>
    <row r="22" spans="1:12" ht="15.6" x14ac:dyDescent="0.3">
      <c r="A22" s="89">
        <v>21</v>
      </c>
      <c r="B22" s="11"/>
      <c r="C22" s="5"/>
      <c r="D22" s="5"/>
      <c r="E22" s="5">
        <v>10</v>
      </c>
      <c r="F22" s="5"/>
      <c r="G22" s="5">
        <v>56</v>
      </c>
      <c r="H22" s="41" t="s">
        <v>98</v>
      </c>
      <c r="I22" s="56">
        <f t="shared" si="0"/>
        <v>66</v>
      </c>
      <c r="J22" s="1"/>
      <c r="K22" s="1"/>
      <c r="L22" s="1"/>
    </row>
    <row r="23" spans="1:12" ht="15.6" x14ac:dyDescent="0.3">
      <c r="A23" s="89">
        <v>22</v>
      </c>
      <c r="B23" s="11"/>
      <c r="C23" s="5"/>
      <c r="D23" s="5">
        <v>20</v>
      </c>
      <c r="E23" s="101"/>
      <c r="F23" s="5">
        <v>2.7</v>
      </c>
      <c r="G23" s="5"/>
      <c r="H23" s="41"/>
      <c r="I23" s="56">
        <f t="shared" si="0"/>
        <v>22.7</v>
      </c>
      <c r="J23" s="1"/>
      <c r="K23" s="1"/>
      <c r="L23" s="1"/>
    </row>
    <row r="24" spans="1:12" ht="15.6" x14ac:dyDescent="0.3">
      <c r="A24" s="25">
        <v>23</v>
      </c>
      <c r="B24" s="11">
        <f>3</f>
        <v>3</v>
      </c>
      <c r="C24" s="5"/>
      <c r="D24" s="5"/>
      <c r="E24" s="5"/>
      <c r="F24" s="5">
        <v>5</v>
      </c>
      <c r="G24" s="103">
        <f>90</f>
        <v>90</v>
      </c>
      <c r="H24" s="41" t="s">
        <v>97</v>
      </c>
      <c r="I24" s="56">
        <f t="shared" si="0"/>
        <v>98</v>
      </c>
      <c r="J24" s="1"/>
      <c r="K24" s="1"/>
      <c r="L24" s="1"/>
    </row>
    <row r="25" spans="1:12" ht="15.6" x14ac:dyDescent="0.3">
      <c r="A25" s="25">
        <v>24</v>
      </c>
      <c r="B25" s="11"/>
      <c r="C25" s="5"/>
      <c r="D25" s="5"/>
      <c r="E25" s="5"/>
      <c r="F25" s="5">
        <v>3</v>
      </c>
      <c r="G25" s="5"/>
      <c r="H25" s="41"/>
      <c r="I25" s="56">
        <f t="shared" si="0"/>
        <v>3</v>
      </c>
      <c r="J25" s="1"/>
      <c r="K25" s="1"/>
      <c r="L25" s="1"/>
    </row>
    <row r="26" spans="1:12" ht="15.6" x14ac:dyDescent="0.3">
      <c r="A26" s="25">
        <v>25</v>
      </c>
      <c r="B26" s="11"/>
      <c r="C26" s="5"/>
      <c r="D26" s="5"/>
      <c r="E26" s="5"/>
      <c r="F26" s="5">
        <v>4</v>
      </c>
      <c r="G26" s="5"/>
      <c r="H26" s="41"/>
      <c r="I26" s="56">
        <f t="shared" si="0"/>
        <v>4</v>
      </c>
      <c r="J26" s="1"/>
      <c r="K26" s="102"/>
      <c r="L26" s="1"/>
    </row>
    <row r="27" spans="1:12" ht="15.6" x14ac:dyDescent="0.3">
      <c r="A27" s="25">
        <v>26</v>
      </c>
      <c r="B27" s="11">
        <v>3</v>
      </c>
      <c r="C27" s="5"/>
      <c r="D27" s="5"/>
      <c r="E27" s="5">
        <v>30</v>
      </c>
      <c r="F27" s="5">
        <v>2</v>
      </c>
      <c r="G27" s="5"/>
      <c r="H27" s="41"/>
      <c r="I27" s="56">
        <f t="shared" si="0"/>
        <v>35</v>
      </c>
      <c r="J27" s="1"/>
      <c r="K27" s="1"/>
      <c r="L27" s="1"/>
    </row>
    <row r="28" spans="1:12" ht="15.6" x14ac:dyDescent="0.3">
      <c r="A28" s="25">
        <v>27</v>
      </c>
      <c r="B28" s="11"/>
      <c r="C28" s="5"/>
      <c r="D28" s="5"/>
      <c r="E28" s="5"/>
      <c r="F28" s="5">
        <v>2</v>
      </c>
      <c r="G28" s="5"/>
      <c r="H28" s="41"/>
      <c r="I28" s="56">
        <f t="shared" si="0"/>
        <v>2</v>
      </c>
      <c r="J28" s="1"/>
      <c r="K28" s="1"/>
      <c r="L28" s="1"/>
    </row>
    <row r="29" spans="1:12" ht="15.6" x14ac:dyDescent="0.3">
      <c r="A29" s="89">
        <v>28</v>
      </c>
      <c r="B29" s="11"/>
      <c r="C29" s="5"/>
      <c r="D29" s="5"/>
      <c r="E29" s="5"/>
      <c r="F29" s="5">
        <v>3</v>
      </c>
      <c r="G29" s="5"/>
      <c r="H29" s="41"/>
      <c r="I29" s="56">
        <f t="shared" si="0"/>
        <v>3</v>
      </c>
      <c r="J29" s="1"/>
      <c r="K29" s="1"/>
      <c r="L29" s="1"/>
    </row>
    <row r="30" spans="1:12" ht="15.6" x14ac:dyDescent="0.3">
      <c r="A30" s="89">
        <v>29</v>
      </c>
      <c r="B30" s="11"/>
      <c r="C30" s="5"/>
      <c r="D30" s="5"/>
      <c r="E30" s="5"/>
      <c r="F30" s="5">
        <v>3</v>
      </c>
      <c r="G30" s="5"/>
      <c r="H30" s="41"/>
      <c r="I30" s="56">
        <f t="shared" si="0"/>
        <v>3</v>
      </c>
      <c r="J30" s="1"/>
      <c r="K30" s="1"/>
      <c r="L30" s="1"/>
    </row>
    <row r="31" spans="1:12" ht="15.6" x14ac:dyDescent="0.3">
      <c r="A31" s="25">
        <v>30</v>
      </c>
      <c r="B31" s="11"/>
      <c r="C31" s="5"/>
      <c r="D31" s="5"/>
      <c r="E31" s="5"/>
      <c r="F31" s="5">
        <v>2</v>
      </c>
      <c r="G31" s="5"/>
      <c r="H31" s="41"/>
      <c r="I31" s="56">
        <f t="shared" si="0"/>
        <v>2</v>
      </c>
      <c r="J31" s="1"/>
      <c r="K31" s="1"/>
      <c r="L31" s="1"/>
    </row>
    <row r="32" spans="1:12" ht="16.2" thickBot="1" x14ac:dyDescent="0.35">
      <c r="A32" s="27">
        <v>31</v>
      </c>
      <c r="B32" s="12">
        <v>11.08</v>
      </c>
      <c r="C32" s="13"/>
      <c r="D32" s="13"/>
      <c r="E32" s="13"/>
      <c r="F32" s="13">
        <f>50+45</f>
        <v>95</v>
      </c>
      <c r="G32" s="13">
        <f>25+10</f>
        <v>35</v>
      </c>
      <c r="H32" s="42"/>
      <c r="I32" s="56">
        <f t="shared" si="0"/>
        <v>141.07999999999998</v>
      </c>
      <c r="J32" s="1"/>
      <c r="K32" s="1"/>
      <c r="L32" s="1"/>
    </row>
    <row r="33" spans="1:9" ht="16.2" thickBot="1" x14ac:dyDescent="0.35">
      <c r="A33" s="14" t="s">
        <v>5</v>
      </c>
      <c r="B33" s="43">
        <f>SUM(B2:B32)</f>
        <v>100.93</v>
      </c>
      <c r="C33" s="49">
        <f>SUM(C2:C32)</f>
        <v>0</v>
      </c>
      <c r="D33" s="43">
        <f t="shared" ref="D33:H33" si="1">SUM(D2:D32)</f>
        <v>20</v>
      </c>
      <c r="E33" s="49">
        <f t="shared" si="1"/>
        <v>79.5</v>
      </c>
      <c r="F33" s="49">
        <f t="shared" si="1"/>
        <v>146.69999999999999</v>
      </c>
      <c r="G33" s="43">
        <f t="shared" si="1"/>
        <v>318.75</v>
      </c>
      <c r="H33" s="49">
        <f t="shared" si="1"/>
        <v>0</v>
      </c>
      <c r="I33" s="55">
        <f>SUM(I2:I32)</f>
        <v>665.87999999999988</v>
      </c>
    </row>
  </sheetData>
  <conditionalFormatting sqref="L1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template</vt:lpstr>
      <vt:lpstr>Saldo</vt:lpstr>
      <vt:lpstr>Gráficos</vt:lpstr>
      <vt:lpstr>Janeiro</vt:lpstr>
      <vt:lpstr>Fevereiro</vt:lpstr>
      <vt:lpstr>Março</vt:lpstr>
      <vt:lpstr>Maio</vt:lpstr>
      <vt:lpstr>Abril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Zambras</dc:creator>
  <cp:lastModifiedBy>David</cp:lastModifiedBy>
  <dcterms:created xsi:type="dcterms:W3CDTF">2019-02-11T17:59:30Z</dcterms:created>
  <dcterms:modified xsi:type="dcterms:W3CDTF">2020-12-22T21:40:02Z</dcterms:modified>
</cp:coreProperties>
</file>