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cc1brg\Desktop\Documentos\Claude\WebExpenses\Excels\"/>
    </mc:Choice>
  </mc:AlternateContent>
  <xr:revisionPtr revIDLastSave="0" documentId="13_ncr:1_{2BD14569-3C2A-4993-8888-BC7273478402}" xr6:coauthVersionLast="47" xr6:coauthVersionMax="47" xr10:uidLastSave="{00000000-0000-0000-0000-000000000000}"/>
  <bookViews>
    <workbookView xWindow="5580" yWindow="3810" windowWidth="21600" windowHeight="12645" tabRatio="529" firstSheet="1" activeTab="1" xr2:uid="{00000000-000D-0000-FFFF-FFFF00000000}"/>
  </bookViews>
  <sheets>
    <sheet name="Saldo" sheetId="5" r:id="rId1"/>
    <sheet name="Janeiro" sheetId="17" r:id="rId2"/>
    <sheet name="Fevereiro" sheetId="18" r:id="rId3"/>
    <sheet name="Março" sheetId="19" r:id="rId4"/>
    <sheet name="Abril" sheetId="20" r:id="rId5"/>
    <sheet name="Maio" sheetId="21" r:id="rId6"/>
    <sheet name="Junho" sheetId="22" r:id="rId7"/>
    <sheet name="Julho" sheetId="23" r:id="rId8"/>
    <sheet name="Agosto" sheetId="24" r:id="rId9"/>
    <sheet name="Setembro" sheetId="25" r:id="rId10"/>
    <sheet name="Outubro" sheetId="30" r:id="rId11"/>
    <sheet name="Novembro" sheetId="31" r:id="rId12"/>
    <sheet name="Dezembro" sheetId="3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32" l="1"/>
  <c r="F32" i="32" l="1"/>
  <c r="C29" i="32" l="1"/>
  <c r="L13" i="32" l="1"/>
  <c r="C15" i="32" l="1"/>
  <c r="C12" i="32" l="1"/>
  <c r="L2" i="32" l="1"/>
  <c r="B7" i="32"/>
  <c r="G4" i="31" l="1"/>
  <c r="B23" i="31" l="1"/>
  <c r="C13" i="31" l="1"/>
  <c r="G5" i="31" l="1"/>
  <c r="L2" i="31"/>
  <c r="G26" i="30" l="1"/>
  <c r="F9" i="30" l="1"/>
  <c r="E9" i="30"/>
  <c r="L2" i="30" l="1"/>
  <c r="F19" i="25" l="1"/>
  <c r="L2" i="25" l="1"/>
  <c r="L2" i="24" l="1"/>
  <c r="L13" i="21" l="1"/>
  <c r="L13" i="22"/>
  <c r="L13" i="23"/>
  <c r="L2" i="23" l="1"/>
  <c r="G23" i="22" l="1"/>
  <c r="G17" i="22" l="1"/>
  <c r="F12" i="22" l="1"/>
  <c r="L2" i="22" l="1"/>
  <c r="M2" i="22" s="1"/>
  <c r="C30" i="21" l="1"/>
  <c r="C16" i="21" l="1"/>
  <c r="E17" i="21"/>
  <c r="G14" i="21" l="1"/>
  <c r="B10" i="21" l="1"/>
  <c r="L2" i="20" l="1"/>
  <c r="M2" i="20"/>
  <c r="L2" i="21"/>
  <c r="M2" i="21" s="1"/>
  <c r="G30" i="20" l="1"/>
  <c r="C24" i="20"/>
  <c r="L13" i="19" l="1"/>
  <c r="L2" i="19" l="1"/>
  <c r="G2" i="19" l="1"/>
  <c r="M2" i="19"/>
  <c r="L13" i="18" l="1"/>
  <c r="E22" i="18" l="1"/>
  <c r="E19" i="18"/>
  <c r="M2" i="18" l="1"/>
  <c r="L2" i="18"/>
  <c r="B27" i="17" l="1"/>
  <c r="L2" i="17" l="1"/>
  <c r="M2" i="17" s="1"/>
  <c r="K15" i="5" l="1"/>
  <c r="K14" i="5"/>
  <c r="I15" i="5"/>
  <c r="I14" i="5"/>
  <c r="I4" i="32" l="1"/>
  <c r="H33" i="32"/>
  <c r="F33" i="32"/>
  <c r="G15" i="5" s="1"/>
  <c r="E33" i="32"/>
  <c r="F15" i="5" s="1"/>
  <c r="D33" i="32"/>
  <c r="E15" i="5" s="1"/>
  <c r="C33" i="32"/>
  <c r="D15" i="5" s="1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3" i="32"/>
  <c r="G33" i="32"/>
  <c r="H15" i="5" s="1"/>
  <c r="B33" i="32"/>
  <c r="C15" i="5" s="1"/>
  <c r="L14" i="32" l="1"/>
  <c r="I2" i="32"/>
  <c r="I33" i="32" s="1"/>
  <c r="L16" i="32" l="1"/>
  <c r="M14" i="32"/>
  <c r="M16" i="32" l="1"/>
  <c r="L15" i="5"/>
  <c r="B33" i="31" l="1"/>
  <c r="C14" i="5" s="1"/>
  <c r="G33" i="31"/>
  <c r="H14" i="5" s="1"/>
  <c r="H33" i="31"/>
  <c r="F33" i="31"/>
  <c r="G14" i="5" s="1"/>
  <c r="E33" i="31"/>
  <c r="F14" i="5" s="1"/>
  <c r="D33" i="31"/>
  <c r="E14" i="5" s="1"/>
  <c r="I32" i="31"/>
  <c r="I31" i="31"/>
  <c r="I30" i="31"/>
  <c r="I29" i="31"/>
  <c r="I28" i="31"/>
  <c r="I27" i="31"/>
  <c r="I26" i="31"/>
  <c r="I25" i="31"/>
  <c r="I24" i="31"/>
  <c r="I23" i="31"/>
  <c r="I22" i="31"/>
  <c r="I21" i="31"/>
  <c r="I20" i="31"/>
  <c r="I19" i="31"/>
  <c r="I18" i="31"/>
  <c r="I17" i="31"/>
  <c r="I16" i="31"/>
  <c r="I15" i="31"/>
  <c r="I14" i="31"/>
  <c r="I13" i="31"/>
  <c r="I12" i="31"/>
  <c r="I11" i="31"/>
  <c r="I10" i="31"/>
  <c r="I9" i="31"/>
  <c r="I8" i="31"/>
  <c r="I7" i="31"/>
  <c r="I6" i="31"/>
  <c r="I5" i="31"/>
  <c r="I4" i="31"/>
  <c r="C33" i="31"/>
  <c r="D14" i="5" s="1"/>
  <c r="I2" i="31" l="1"/>
  <c r="L14" i="31"/>
  <c r="I3" i="31"/>
  <c r="I33" i="31" s="1"/>
  <c r="M14" i="31" l="1"/>
  <c r="L16" i="31"/>
  <c r="M16" i="31" l="1"/>
  <c r="L14" i="5"/>
  <c r="I13" i="5"/>
  <c r="K13" i="5"/>
  <c r="H33" i="30"/>
  <c r="G33" i="30"/>
  <c r="H13" i="5" s="1"/>
  <c r="F33" i="30"/>
  <c r="G13" i="5" s="1"/>
  <c r="E33" i="30"/>
  <c r="F13" i="5" s="1"/>
  <c r="D33" i="30"/>
  <c r="E13" i="5" s="1"/>
  <c r="C33" i="30"/>
  <c r="D13" i="5" s="1"/>
  <c r="B33" i="30"/>
  <c r="C13" i="5" s="1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I3" i="30"/>
  <c r="I2" i="30"/>
  <c r="I33" i="30" l="1"/>
  <c r="L14" i="30"/>
  <c r="L16" i="30" s="1"/>
  <c r="M16" i="30" l="1"/>
  <c r="L13" i="5"/>
  <c r="M14" i="30"/>
  <c r="I12" i="5"/>
  <c r="I11" i="5"/>
  <c r="I10" i="5"/>
  <c r="I9" i="5"/>
  <c r="I8" i="5"/>
  <c r="I7" i="5"/>
  <c r="I6" i="5"/>
  <c r="I5" i="5"/>
  <c r="I4" i="5"/>
  <c r="K12" i="5" l="1"/>
  <c r="K11" i="5"/>
  <c r="K10" i="5"/>
  <c r="M14" i="5" l="1"/>
  <c r="M13" i="5"/>
  <c r="K9" i="5" l="1"/>
  <c r="K8" i="5"/>
  <c r="J15" i="5" l="1"/>
  <c r="J14" i="5"/>
  <c r="J13" i="5"/>
  <c r="M15" i="5"/>
  <c r="H33" i="25"/>
  <c r="G33" i="25"/>
  <c r="F33" i="25"/>
  <c r="G12" i="5" s="1"/>
  <c r="E33" i="25"/>
  <c r="F12" i="5" s="1"/>
  <c r="D33" i="25"/>
  <c r="E12" i="5" s="1"/>
  <c r="C33" i="25"/>
  <c r="D12" i="5" s="1"/>
  <c r="B33" i="25"/>
  <c r="C12" i="5" s="1"/>
  <c r="I32" i="25"/>
  <c r="I31" i="25"/>
  <c r="I30" i="25"/>
  <c r="I29" i="25"/>
  <c r="I28" i="25"/>
  <c r="I27" i="25"/>
  <c r="I26" i="25"/>
  <c r="I25" i="25"/>
  <c r="I24" i="25"/>
  <c r="I23" i="25"/>
  <c r="I22" i="25"/>
  <c r="I21" i="25"/>
  <c r="I20" i="25"/>
  <c r="I19" i="25"/>
  <c r="I18" i="25"/>
  <c r="I17" i="25"/>
  <c r="I16" i="25"/>
  <c r="I15" i="25"/>
  <c r="I14" i="25"/>
  <c r="I13" i="25"/>
  <c r="I12" i="25"/>
  <c r="I11" i="25"/>
  <c r="I10" i="25"/>
  <c r="I9" i="25"/>
  <c r="I8" i="25"/>
  <c r="I7" i="25"/>
  <c r="I6" i="25"/>
  <c r="I5" i="25"/>
  <c r="I4" i="25"/>
  <c r="I3" i="25"/>
  <c r="I2" i="25"/>
  <c r="H33" i="24"/>
  <c r="G33" i="24"/>
  <c r="H11" i="5" s="1"/>
  <c r="F33" i="24"/>
  <c r="G11" i="5" s="1"/>
  <c r="E33" i="24"/>
  <c r="F11" i="5" s="1"/>
  <c r="D33" i="24"/>
  <c r="E11" i="5" s="1"/>
  <c r="C33" i="24"/>
  <c r="D11" i="5" s="1"/>
  <c r="B33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9" i="24"/>
  <c r="I8" i="24"/>
  <c r="I7" i="24"/>
  <c r="I6" i="24"/>
  <c r="I5" i="24"/>
  <c r="I4" i="24"/>
  <c r="I3" i="24"/>
  <c r="I2" i="24"/>
  <c r="H33" i="23"/>
  <c r="G33" i="23"/>
  <c r="H10" i="5" s="1"/>
  <c r="F33" i="23"/>
  <c r="G10" i="5" s="1"/>
  <c r="E33" i="23"/>
  <c r="F10" i="5" s="1"/>
  <c r="D33" i="23"/>
  <c r="E10" i="5" s="1"/>
  <c r="C33" i="23"/>
  <c r="D10" i="5" s="1"/>
  <c r="B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I4" i="23"/>
  <c r="I3" i="23"/>
  <c r="I2" i="23"/>
  <c r="L14" i="24" l="1"/>
  <c r="M14" i="24" s="1"/>
  <c r="C11" i="5"/>
  <c r="J11" i="5" s="1"/>
  <c r="C10" i="5"/>
  <c r="J10" i="5" s="1"/>
  <c r="L14" i="23"/>
  <c r="M14" i="23" s="1"/>
  <c r="H12" i="5"/>
  <c r="J12" i="5" s="1"/>
  <c r="L14" i="25"/>
  <c r="I33" i="25"/>
  <c r="I33" i="24"/>
  <c r="I33" i="23"/>
  <c r="L16" i="24" l="1"/>
  <c r="L16" i="23"/>
  <c r="M16" i="23" s="1"/>
  <c r="L16" i="25"/>
  <c r="M16" i="25" s="1"/>
  <c r="M14" i="25"/>
  <c r="L11" i="5" l="1"/>
  <c r="M11" i="5" s="1"/>
  <c r="M16" i="24"/>
  <c r="L10" i="5"/>
  <c r="M10" i="5" s="1"/>
  <c r="L12" i="5"/>
  <c r="M12" i="5" s="1"/>
  <c r="H33" i="22" l="1"/>
  <c r="G33" i="22"/>
  <c r="H9" i="5" s="1"/>
  <c r="F33" i="22"/>
  <c r="G9" i="5" s="1"/>
  <c r="E33" i="22"/>
  <c r="F9" i="5" s="1"/>
  <c r="D33" i="22"/>
  <c r="E9" i="5" s="1"/>
  <c r="C33" i="22"/>
  <c r="D9" i="5" s="1"/>
  <c r="B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6" i="22"/>
  <c r="I5" i="22"/>
  <c r="I4" i="22"/>
  <c r="I3" i="22"/>
  <c r="I2" i="22"/>
  <c r="L14" i="22" l="1"/>
  <c r="M14" i="22" s="1"/>
  <c r="C9" i="5"/>
  <c r="I33" i="22"/>
  <c r="L16" i="22" l="1"/>
  <c r="L9" i="5" s="1"/>
  <c r="M9" i="5" s="1"/>
  <c r="K7" i="5"/>
  <c r="K6" i="5"/>
  <c r="J9" i="5"/>
  <c r="H33" i="21"/>
  <c r="G33" i="21"/>
  <c r="H8" i="5" s="1"/>
  <c r="F33" i="21"/>
  <c r="G8" i="5" s="1"/>
  <c r="E33" i="21"/>
  <c r="F8" i="5" s="1"/>
  <c r="D33" i="21"/>
  <c r="E8" i="5" s="1"/>
  <c r="C33" i="21"/>
  <c r="D8" i="5" s="1"/>
  <c r="B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  <c r="I3" i="21"/>
  <c r="I2" i="21"/>
  <c r="M16" i="22" l="1"/>
  <c r="L14" i="21"/>
  <c r="M14" i="21" s="1"/>
  <c r="C8" i="5"/>
  <c r="J8" i="5" s="1"/>
  <c r="I33" i="21"/>
  <c r="L16" i="21" l="1"/>
  <c r="L8" i="5" s="1"/>
  <c r="M8" i="5" s="1"/>
  <c r="H33" i="20"/>
  <c r="G33" i="20"/>
  <c r="H7" i="5" s="1"/>
  <c r="F33" i="20"/>
  <c r="G7" i="5" s="1"/>
  <c r="E33" i="20"/>
  <c r="F7" i="5" s="1"/>
  <c r="D33" i="20"/>
  <c r="E7" i="5" s="1"/>
  <c r="C33" i="20"/>
  <c r="D7" i="5" s="1"/>
  <c r="B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8" i="20"/>
  <c r="I7" i="20"/>
  <c r="I6" i="20"/>
  <c r="I5" i="20"/>
  <c r="I4" i="20"/>
  <c r="I3" i="20"/>
  <c r="I2" i="20"/>
  <c r="M16" i="21" l="1"/>
  <c r="L14" i="20"/>
  <c r="M14" i="20" s="1"/>
  <c r="C7" i="5"/>
  <c r="J7" i="5" s="1"/>
  <c r="I33" i="20"/>
  <c r="L16" i="20" l="1"/>
  <c r="L7" i="5" s="1"/>
  <c r="M7" i="5" s="1"/>
  <c r="H33" i="19"/>
  <c r="G33" i="19"/>
  <c r="H6" i="5" s="1"/>
  <c r="F33" i="19"/>
  <c r="G6" i="5" s="1"/>
  <c r="E33" i="19"/>
  <c r="F6" i="5" s="1"/>
  <c r="D33" i="19"/>
  <c r="E6" i="5" s="1"/>
  <c r="C33" i="19"/>
  <c r="D6" i="5" s="1"/>
  <c r="B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M16" i="20" l="1"/>
  <c r="C6" i="5"/>
  <c r="J6" i="5" s="1"/>
  <c r="L14" i="19"/>
  <c r="M14" i="19" s="1"/>
  <c r="I33" i="19"/>
  <c r="L16" i="19" l="1"/>
  <c r="L6" i="5" s="1"/>
  <c r="M6" i="5" s="1"/>
  <c r="K5" i="5"/>
  <c r="K4" i="5"/>
  <c r="M16" i="19" l="1"/>
  <c r="C33" i="18"/>
  <c r="D5" i="5" s="1"/>
  <c r="H33" i="18"/>
  <c r="G33" i="18"/>
  <c r="H5" i="5" s="1"/>
  <c r="F33" i="18"/>
  <c r="G5" i="5" s="1"/>
  <c r="E33" i="18"/>
  <c r="F5" i="5" s="1"/>
  <c r="D33" i="18"/>
  <c r="E5" i="5" s="1"/>
  <c r="B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3" i="18"/>
  <c r="I2" i="18"/>
  <c r="L14" i="18" l="1"/>
  <c r="M14" i="18" s="1"/>
  <c r="C5" i="5"/>
  <c r="J5" i="5" s="1"/>
  <c r="I4" i="18"/>
  <c r="I33" i="18" s="1"/>
  <c r="L16" i="18" l="1"/>
  <c r="H33" i="17"/>
  <c r="G33" i="17"/>
  <c r="H4" i="5" s="1"/>
  <c r="F33" i="17"/>
  <c r="G4" i="5" s="1"/>
  <c r="E33" i="17"/>
  <c r="F4" i="5" s="1"/>
  <c r="D33" i="17"/>
  <c r="E4" i="5" s="1"/>
  <c r="C33" i="17"/>
  <c r="B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I2" i="17"/>
  <c r="D4" i="5" l="1"/>
  <c r="L14" i="17"/>
  <c r="M14" i="17" s="1"/>
  <c r="L5" i="5"/>
  <c r="M5" i="5" s="1"/>
  <c r="M16" i="18"/>
  <c r="C4" i="5"/>
  <c r="I33" i="17"/>
  <c r="J4" i="5" l="1"/>
  <c r="J16" i="5" s="1"/>
  <c r="L16" i="17"/>
  <c r="I16" i="5"/>
  <c r="Q4" i="5" l="1"/>
  <c r="I18" i="5"/>
  <c r="L4" i="5"/>
  <c r="M4" i="5" s="1"/>
  <c r="M16" i="17"/>
  <c r="D16" i="5"/>
  <c r="K16" i="5" l="1"/>
  <c r="Q3" i="5" l="1"/>
  <c r="I17" i="5"/>
  <c r="F16" i="5"/>
  <c r="H16" i="5"/>
  <c r="G16" i="5"/>
  <c r="E16" i="5"/>
  <c r="C16" i="5" l="1"/>
  <c r="L16" i="5"/>
  <c r="M16" i="5" s="1"/>
  <c r="Q5" i="5" l="1"/>
</calcChain>
</file>

<file path=xl/sharedStrings.xml><?xml version="1.0" encoding="utf-8"?>
<sst xmlns="http://schemas.openxmlformats.org/spreadsheetml/2006/main" count="311" uniqueCount="119">
  <si>
    <t>Dia</t>
  </si>
  <si>
    <t>Combustivel</t>
  </si>
  <si>
    <t>Saídas</t>
  </si>
  <si>
    <t>Total</t>
  </si>
  <si>
    <t>Outros</t>
  </si>
  <si>
    <t>Especificar Outros</t>
  </si>
  <si>
    <t>Rendimentos:</t>
  </si>
  <si>
    <t>Despesas:</t>
  </si>
  <si>
    <t>Saldo:</t>
  </si>
  <si>
    <t>Viagens</t>
  </si>
  <si>
    <t>Total: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</si>
  <si>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</si>
  <si>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</si>
  <si>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</si>
  <si>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</si>
  <si>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</si>
  <si>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</si>
  <si>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</si>
  <si>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</si>
  <si>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</si>
  <si>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</si>
  <si>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</si>
  <si>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</si>
  <si>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Renda</t>
  </si>
  <si>
    <t>Lucro</t>
  </si>
  <si>
    <t>Alimentação Casa</t>
  </si>
  <si>
    <t>Alimentação Fora</t>
  </si>
  <si>
    <t>ALGT</t>
  </si>
  <si>
    <t>Rend</t>
  </si>
  <si>
    <t>Renda+ALGT</t>
  </si>
  <si>
    <t>eurom</t>
  </si>
  <si>
    <t>varinha magica</t>
  </si>
  <si>
    <t>fnac</t>
  </si>
  <si>
    <t>medis</t>
  </si>
  <si>
    <t>sweats</t>
  </si>
  <si>
    <t>cabelo</t>
  </si>
  <si>
    <t>dentista</t>
  </si>
  <si>
    <t>sushi</t>
  </si>
  <si>
    <t>pizza</t>
  </si>
  <si>
    <t>cabo iphone+biscoitos</t>
  </si>
  <si>
    <t>branqueamento</t>
  </si>
  <si>
    <t>tampoes</t>
  </si>
  <si>
    <t>prozis</t>
  </si>
  <si>
    <t xml:space="preserve">t plus </t>
  </si>
  <si>
    <t>continente</t>
  </si>
  <si>
    <t>eco doppler</t>
  </si>
  <si>
    <t>consulta uro</t>
  </si>
  <si>
    <t>lampada matricula</t>
  </si>
  <si>
    <t>cremes</t>
  </si>
  <si>
    <t>branq</t>
  </si>
  <si>
    <t>eurom +pituxa</t>
  </si>
  <si>
    <t>pizza+finos+t</t>
  </si>
  <si>
    <t>calções</t>
  </si>
  <si>
    <t>guardanapos</t>
  </si>
  <si>
    <t>francesinha</t>
  </si>
  <si>
    <t>aniversario</t>
  </si>
  <si>
    <t>bike+cabelo+praxis</t>
  </si>
  <si>
    <t>sapatilhas</t>
  </si>
  <si>
    <t>consulta</t>
  </si>
  <si>
    <t>prozis+ebay</t>
  </si>
  <si>
    <t>tabique</t>
  </si>
  <si>
    <t>barcelos esposende</t>
  </si>
  <si>
    <t>ecovia do vez</t>
  </si>
  <si>
    <t>francesinha luis</t>
  </si>
  <si>
    <t>hamburger bira</t>
  </si>
  <si>
    <t>benitos burger</t>
  </si>
  <si>
    <t>equip bike</t>
  </si>
  <si>
    <t>pisc</t>
  </si>
  <si>
    <t>limpeza praia</t>
  </si>
  <si>
    <t>carr lavar e praia</t>
  </si>
  <si>
    <t>vida boa e taça port</t>
  </si>
  <si>
    <t>tenis cris e cartaxo</t>
  </si>
  <si>
    <t>derma + shampoo</t>
  </si>
  <si>
    <t>jogo piolho+cabelo</t>
  </si>
  <si>
    <t>sunset</t>
  </si>
  <si>
    <t>calças+ebay</t>
  </si>
  <si>
    <t>jogo mag</t>
  </si>
  <si>
    <t>jogo sea of thieves</t>
  </si>
  <si>
    <t>noodles pad thai</t>
  </si>
  <si>
    <t>40pai</t>
  </si>
  <si>
    <t>150paitia</t>
  </si>
  <si>
    <t>100pai</t>
  </si>
  <si>
    <t>casamento</t>
  </si>
  <si>
    <t>amazon</t>
  </si>
  <si>
    <t>c3</t>
  </si>
  <si>
    <t>boteco</t>
  </si>
  <si>
    <t>naco</t>
  </si>
  <si>
    <t>livita</t>
  </si>
  <si>
    <t>zoo</t>
  </si>
  <si>
    <t>ouvido</t>
  </si>
  <si>
    <t>ebay e amazon</t>
  </si>
  <si>
    <t>cinema</t>
  </si>
  <si>
    <t>grelha e tupp</t>
  </si>
  <si>
    <t>do rendimento</t>
  </si>
  <si>
    <t>das despesas</t>
  </si>
  <si>
    <t>cadeADO</t>
  </si>
  <si>
    <t>euroM</t>
  </si>
  <si>
    <t>cachecol+perfurme</t>
  </si>
  <si>
    <t>passporte</t>
  </si>
  <si>
    <t>ferr engomar + televen + tapete</t>
  </si>
  <si>
    <t>bilhetes aviao</t>
  </si>
  <si>
    <t>olo</t>
  </si>
  <si>
    <t>mochila viagem</t>
  </si>
  <si>
    <t>pasta-ivavoucher + nb coimbra</t>
  </si>
  <si>
    <t>pintura carro</t>
  </si>
  <si>
    <t>omakase</t>
  </si>
  <si>
    <t>prendas primark</t>
  </si>
  <si>
    <t>gorro</t>
  </si>
  <si>
    <t>prendas amazon</t>
  </si>
  <si>
    <t>decathlon</t>
  </si>
  <si>
    <t>livita e farmacia</t>
  </si>
  <si>
    <t>reembolso medis</t>
  </si>
  <si>
    <t>tac</t>
  </si>
  <si>
    <t>ivaucher</t>
  </si>
  <si>
    <t>paimae</t>
  </si>
  <si>
    <t>raspadinha</t>
  </si>
  <si>
    <t>croissants</t>
  </si>
  <si>
    <t>cheio de sono</t>
  </si>
  <si>
    <t>cadeira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</si>
</sst>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u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0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2" xfId="0" applyFont="1" applyFill="1" applyBorder="1" applyAlignment="1">
      <alignment horizontal="right"/>
    </xf>
    <xf numFmtId="0" fontId="3" fillId="2" borderId="6" xfId="0" applyFont="1" applyFill="1" applyBorder="1" applyAlignment="1">
      <alignment horizontal="right"/>
    </xf>
    <xf numFmtId="0" fontId="3" fillId="2" borderId="7" xfId="0" applyFont="1" applyFill="1" applyBorder="1" applyAlignment="1">
      <alignment horizontal="right"/>
    </xf>
    <xf numFmtId="0" fontId="3" fillId="2" borderId="8" xfId="0" applyFont="1" applyFill="1" applyBorder="1" applyAlignment="1">
      <alignment horizontal="right"/>
    </xf>
    <xf numFmtId="0" fontId="3" fillId="2" borderId="10" xfId="0" applyFont="1" applyFill="1" applyBorder="1" applyAlignment="1">
      <alignment horizontal="right"/>
    </xf>
    <xf numFmtId="0" fontId="3" fillId="2" borderId="1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0" fontId="2" fillId="6" borderId="3" xfId="0" applyFont="1" applyFill="1" applyBorder="1" applyAlignment="1">
      <alignment horizontal="right"/>
    </xf>
    <xf numFmtId="0" fontId="3" fillId="0" borderId="14" xfId="0" applyFont="1" applyBorder="1"/>
    <xf numFmtId="0" fontId="3" fillId="0" borderId="16" xfId="0" applyFont="1" applyBorder="1"/>
    <xf numFmtId="0" fontId="1" fillId="0" borderId="15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2" fillId="6" borderId="15" xfId="0" applyFont="1" applyFill="1" applyBorder="1" applyAlignment="1">
      <alignment horizontal="right"/>
    </xf>
    <xf numFmtId="0" fontId="3" fillId="7" borderId="14" xfId="0" applyFont="1" applyFill="1" applyBorder="1"/>
    <xf numFmtId="0" fontId="3" fillId="8" borderId="5" xfId="0" applyFont="1" applyFill="1" applyBorder="1" applyAlignment="1">
      <alignment horizontal="right"/>
    </xf>
    <xf numFmtId="0" fontId="3" fillId="8" borderId="4" xfId="0" applyFont="1" applyFill="1" applyBorder="1" applyAlignment="1">
      <alignment horizontal="right"/>
    </xf>
    <xf numFmtId="0" fontId="3" fillId="9" borderId="16" xfId="0" applyFont="1" applyFill="1" applyBorder="1"/>
    <xf numFmtId="0" fontId="3" fillId="10" borderId="12" xfId="0" applyFont="1" applyFill="1" applyBorder="1"/>
    <xf numFmtId="0" fontId="2" fillId="11" borderId="1" xfId="0" applyFont="1" applyFill="1" applyBorder="1"/>
    <xf numFmtId="0" fontId="0" fillId="0" borderId="18" xfId="0" applyBorder="1"/>
    <xf numFmtId="0" fontId="2" fillId="11" borderId="17" xfId="0" applyFont="1" applyFill="1" applyBorder="1"/>
    <xf numFmtId="0" fontId="3" fillId="2" borderId="19" xfId="0" applyFont="1" applyFill="1" applyBorder="1" applyAlignment="1">
      <alignment horizontal="right"/>
    </xf>
    <xf numFmtId="0" fontId="3" fillId="2" borderId="20" xfId="0" applyFont="1" applyFill="1" applyBorder="1" applyAlignment="1">
      <alignment horizontal="right"/>
    </xf>
    <xf numFmtId="0" fontId="3" fillId="2" borderId="21" xfId="0" applyFont="1" applyFill="1" applyBorder="1" applyAlignment="1">
      <alignment horizontal="right"/>
    </xf>
    <xf numFmtId="0" fontId="0" fillId="5" borderId="2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2" fillId="3" borderId="22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3" borderId="17" xfId="0" applyFont="1" applyFill="1" applyBorder="1" applyAlignment="1">
      <alignment horizontal="right"/>
    </xf>
    <xf numFmtId="0" fontId="0" fillId="5" borderId="1" xfId="0" applyFill="1" applyBorder="1"/>
    <xf numFmtId="0" fontId="3" fillId="12" borderId="6" xfId="0" applyFont="1" applyFill="1" applyBorder="1"/>
    <xf numFmtId="0" fontId="2" fillId="3" borderId="1" xfId="0" applyFont="1" applyFill="1" applyBorder="1"/>
    <xf numFmtId="0" fontId="0" fillId="0" borderId="24" xfId="0" applyBorder="1"/>
    <xf numFmtId="0" fontId="0" fillId="0" borderId="2" xfId="0" applyBorder="1"/>
    <xf numFmtId="0" fontId="0" fillId="0" borderId="8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4" fillId="4" borderId="30" xfId="0" applyFont="1" applyFill="1" applyBorder="1"/>
    <xf numFmtId="0" fontId="2" fillId="3" borderId="23" xfId="0" applyFont="1" applyFill="1" applyBorder="1" applyAlignment="1">
      <alignment horizontal="right"/>
    </xf>
    <xf numFmtId="0" fontId="4" fillId="4" borderId="31" xfId="0" applyFont="1" applyFill="1" applyBorder="1"/>
    <xf numFmtId="0" fontId="4" fillId="4" borderId="32" xfId="0" applyFont="1" applyFill="1" applyBorder="1"/>
    <xf numFmtId="0" fontId="0" fillId="0" borderId="4" xfId="0" applyBorder="1"/>
    <xf numFmtId="0" fontId="0" fillId="0" borderId="5" xfId="0" applyBorder="1"/>
    <xf numFmtId="0" fontId="0" fillId="0" borderId="33" xfId="0" applyBorder="1"/>
    <xf numFmtId="0" fontId="0" fillId="0" borderId="14" xfId="0" applyBorder="1"/>
    <xf numFmtId="0" fontId="0" fillId="0" borderId="1" xfId="0" applyBorder="1"/>
    <xf numFmtId="0" fontId="0" fillId="0" borderId="30" xfId="0" applyBorder="1"/>
    <xf numFmtId="0" fontId="0" fillId="0" borderId="34" xfId="0" applyBorder="1"/>
    <xf numFmtId="0" fontId="0" fillId="0" borderId="17" xfId="0" applyBorder="1"/>
    <xf numFmtId="0" fontId="2" fillId="14" borderId="1" xfId="0" applyFont="1" applyFill="1" applyBorder="1" applyAlignment="1">
      <alignment horizontal="right"/>
    </xf>
    <xf numFmtId="0" fontId="3" fillId="13" borderId="5" xfId="0" applyFont="1" applyFill="1" applyBorder="1" applyAlignment="1">
      <alignment horizontal="right"/>
    </xf>
    <xf numFmtId="0" fontId="3" fillId="2" borderId="26" xfId="0" applyFont="1" applyFill="1" applyBorder="1" applyAlignment="1">
      <alignment horizontal="right"/>
    </xf>
    <xf numFmtId="0" fontId="0" fillId="0" borderId="31" xfId="0" applyBorder="1"/>
    <xf numFmtId="0" fontId="3" fillId="2" borderId="25" xfId="0" applyFont="1" applyFill="1" applyBorder="1" applyAlignment="1">
      <alignment horizontal="right"/>
    </xf>
    <xf numFmtId="0" fontId="0" fillId="0" borderId="35" xfId="0" applyBorder="1"/>
    <xf numFmtId="0" fontId="5" fillId="3" borderId="1" xfId="0" applyFont="1" applyFill="1" applyBorder="1" applyAlignment="1">
      <alignment horizontal="right"/>
    </xf>
    <xf numFmtId="0" fontId="6" fillId="2" borderId="8" xfId="0" applyFont="1" applyFill="1" applyBorder="1" applyAlignment="1">
      <alignment horizontal="right"/>
    </xf>
    <xf numFmtId="0" fontId="3" fillId="13" borderId="4" xfId="0" applyFont="1" applyFill="1" applyBorder="1" applyAlignment="1">
      <alignment horizontal="right"/>
    </xf>
    <xf numFmtId="0" fontId="3" fillId="15" borderId="5" xfId="0" applyFont="1" applyFill="1" applyBorder="1" applyAlignment="1">
      <alignment horizontal="right"/>
    </xf>
    <xf numFmtId="0" fontId="3" fillId="15" borderId="8" xfId="0" applyFont="1" applyFill="1" applyBorder="1" applyAlignment="1">
      <alignment horizontal="right"/>
    </xf>
    <xf numFmtId="0" fontId="3" fillId="15" borderId="2" xfId="0" applyFont="1" applyFill="1" applyBorder="1" applyAlignment="1">
      <alignment horizontal="right"/>
    </xf>
    <xf numFmtId="0" fontId="3" fillId="15" borderId="20" xfId="0" applyFont="1" applyFill="1" applyBorder="1" applyAlignment="1">
      <alignment horizontal="right"/>
    </xf>
    <xf numFmtId="0" fontId="3" fillId="15" borderId="9" xfId="0" applyFont="1" applyFill="1" applyBorder="1" applyAlignment="1">
      <alignment horizontal="right"/>
    </xf>
    <xf numFmtId="0" fontId="3" fillId="15" borderId="10" xfId="0" applyFont="1" applyFill="1" applyBorder="1" applyAlignment="1">
      <alignment horizontal="right"/>
    </xf>
    <xf numFmtId="0" fontId="3" fillId="15" borderId="11" xfId="0" applyFont="1" applyFill="1" applyBorder="1" applyAlignment="1">
      <alignment horizontal="right"/>
    </xf>
    <xf numFmtId="0" fontId="3" fillId="15" borderId="21" xfId="0" applyFont="1" applyFill="1" applyBorder="1" applyAlignment="1">
      <alignment horizontal="right"/>
    </xf>
    <xf numFmtId="0" fontId="0" fillId="0" borderId="36" xfId="0" applyBorder="1"/>
    <xf numFmtId="0" fontId="0" fillId="0" borderId="26" xfId="0" applyBorder="1"/>
    <xf numFmtId="0" fontId="3" fillId="15" borderId="6" xfId="0" applyFont="1" applyFill="1" applyBorder="1"/>
    <xf numFmtId="0" fontId="2" fillId="16" borderId="3" xfId="0" applyFont="1" applyFill="1" applyBorder="1" applyAlignment="1">
      <alignment horizontal="right"/>
    </xf>
    <xf numFmtId="0" fontId="2" fillId="17" borderId="3" xfId="0" applyFont="1" applyFill="1" applyBorder="1" applyAlignment="1">
      <alignment horizontal="right"/>
    </xf>
    <xf numFmtId="0" fontId="0" fillId="0" borderId="11" xfId="0" applyBorder="1"/>
    <xf numFmtId="9" fontId="0" fillId="0" borderId="0" xfId="1" applyFont="1"/>
    <xf numFmtId="0" fontId="3" fillId="0" borderId="0" xfId="0" applyFont="1" applyBorder="1"/>
    <xf numFmtId="0" fontId="0" fillId="0" borderId="0" xfId="0" applyBorder="1"/>
    <xf numFmtId="0" fontId="0" fillId="0" borderId="13" xfId="0" applyBorder="1"/>
    <xf numFmtId="0" fontId="2" fillId="6" borderId="38" xfId="0" applyFont="1" applyFill="1" applyBorder="1" applyAlignment="1">
      <alignment horizontal="right"/>
    </xf>
    <xf numFmtId="0" fontId="2" fillId="6" borderId="39" xfId="0" applyFont="1" applyFill="1" applyBorder="1" applyAlignment="1">
      <alignment horizontal="right"/>
    </xf>
    <xf numFmtId="0" fontId="2" fillId="0" borderId="40" xfId="0" applyFont="1" applyBorder="1" applyAlignment="1">
      <alignment horizontal="right"/>
    </xf>
    <xf numFmtId="0" fontId="3" fillId="9" borderId="41" xfId="0" applyFont="1" applyFill="1" applyBorder="1"/>
    <xf numFmtId="0" fontId="3" fillId="0" borderId="35" xfId="0" applyFont="1" applyBorder="1"/>
    <xf numFmtId="0" fontId="8" fillId="0" borderId="42" xfId="0" applyFont="1" applyBorder="1"/>
    <xf numFmtId="10" fontId="8" fillId="9" borderId="4" xfId="1" applyNumberFormat="1" applyFont="1" applyFill="1" applyBorder="1"/>
    <xf numFmtId="10" fontId="8" fillId="10" borderId="37" xfId="0" applyNumberFormat="1" applyFont="1" applyFill="1" applyBorder="1"/>
    <xf numFmtId="0" fontId="3" fillId="0" borderId="43" xfId="0" applyFont="1" applyBorder="1"/>
    <xf numFmtId="0" fontId="2" fillId="0" borderId="0" xfId="0" applyFont="1" applyFill="1" applyBorder="1" applyAlignment="1">
      <alignment horizontal="right"/>
    </xf>
    <xf numFmtId="0" fontId="3" fillId="0" borderId="0" xfId="0" applyFont="1" applyFill="1" applyBorder="1"/>
    <xf numFmtId="0" fontId="2" fillId="6" borderId="16" xfId="0" applyFont="1" applyFill="1" applyBorder="1" applyAlignment="1">
      <alignment horizontal="right"/>
    </xf>
    <xf numFmtId="0" fontId="3" fillId="0" borderId="44" xfId="0" applyFont="1" applyBorder="1"/>
    <xf numFmtId="0" fontId="3" fillId="7" borderId="13" xfId="0" applyFont="1" applyFill="1" applyBorder="1"/>
    <xf numFmtId="0" fontId="0" fillId="0" borderId="0" xfId="0" applyFill="1"/>
    <xf numFmtId="0" fontId="2" fillId="6" borderId="12" xfId="0" applyFont="1" applyFill="1" applyBorder="1" applyAlignment="1">
      <alignment horizontal="right"/>
    </xf>
    <xf numFmtId="0" fontId="6" fillId="0" borderId="0" xfId="0" applyFont="1" applyFill="1" applyBorder="1"/>
    <xf numFmtId="10" fontId="0" fillId="0" borderId="33" xfId="1" applyNumberFormat="1" applyFont="1" applyBorder="1"/>
    <xf numFmtId="0" fontId="0" fillId="0" borderId="45" xfId="0" applyBorder="1"/>
    <xf numFmtId="10" fontId="0" fillId="0" borderId="0" xfId="0" applyNumberFormat="1"/>
    <xf numFmtId="9" fontId="0" fillId="0" borderId="0" xfId="1" applyNumberFormat="1" applyFont="1"/>
    <xf numFmtId="0" fontId="3" fillId="2" borderId="20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2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% sobre Despesas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D8-4A4E-BE00-A0D388044A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D8-4A4E-BE00-A0D388044A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D8-4A4E-BE00-A0D388044A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8D8-4A4E-BE00-A0D388044A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8D8-4A4E-BE00-A0D388044A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8D8-4A4E-BE00-A0D388044A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8D8-4A4E-BE00-A0D388044A9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18D8-4A4E-BE00-A0D388044A9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18D8-4A4E-BE00-A0D388044A9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18D8-4A4E-BE00-A0D388044A9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18D8-4A4E-BE00-A0D388044A9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18D8-4A4E-BE00-A0D388044A9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18D8-4A4E-BE00-A0D388044A9F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18D8-4A4E-BE00-A0D388044A9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Saldo!$C$3:$I$3</c:f>
              <c:strCache>
                <c:ptCount val="7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Renda+ALGT</c:v>
                </c:pt>
              </c:strCache>
            </c:strRef>
          </c:cat>
          <c:val>
            <c:numRef>
              <c:f>Saldo!$C$16:$I$16</c:f>
              <c:numCache>
                <c:formatCode>General</c:formatCode>
                <c:ptCount val="7"/>
                <c:pt idx="0">
                  <c:v>869.23000000000013</c:v>
                </c:pt>
                <c:pt idx="1">
                  <c:v>1022.1299999999999</c:v>
                </c:pt>
                <c:pt idx="2">
                  <c:v>890</c:v>
                </c:pt>
                <c:pt idx="3">
                  <c:v>382.40000000000003</c:v>
                </c:pt>
                <c:pt idx="4">
                  <c:v>552.65000000000009</c:v>
                </c:pt>
                <c:pt idx="5">
                  <c:v>2576.34</c:v>
                </c:pt>
                <c:pt idx="6">
                  <c:v>3346.1699999999996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8D8-4A4E-BE00-A0D388044A9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54A-4271-9577-D43F1BD9E6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54A-4271-9577-D43F1BD9E6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54A-4271-9577-D43F1BD9E6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54A-4271-9577-D43F1BD9E6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54A-4271-9577-D43F1BD9E6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54A-4271-9577-D43F1BD9E6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54A-4271-9577-D43F1BD9E6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54A-4271-9577-D43F1BD9E60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(Setembro!$B$1:$G$1,Setembro!$K$1:$L$1)</c:f>
              <c:strCache>
                <c:ptCount val="8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</c:v>
                </c:pt>
                <c:pt idx="7">
                  <c:v>ALGT</c:v>
                </c:pt>
              </c:strCache>
            </c:strRef>
          </c:cat>
          <c:val>
            <c:numRef>
              <c:f>(Janeiro!$B$33:$G$33,Janeiro!$K$2:$L$2)</c:f>
              <c:numCache>
                <c:formatCode>General</c:formatCode>
                <c:ptCount val="8"/>
                <c:pt idx="0">
                  <c:v>71</c:v>
                </c:pt>
                <c:pt idx="1">
                  <c:v>35.700000000000003</c:v>
                </c:pt>
                <c:pt idx="2">
                  <c:v>30</c:v>
                </c:pt>
                <c:pt idx="3">
                  <c:v>37.4</c:v>
                </c:pt>
                <c:pt idx="4">
                  <c:v>9</c:v>
                </c:pt>
                <c:pt idx="5">
                  <c:v>71.7</c:v>
                </c:pt>
                <c:pt idx="6">
                  <c:v>250</c:v>
                </c:pt>
                <c:pt idx="7">
                  <c:v>83.77000000000001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54A-4271-9577-D43F1BD9E60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02484845644294"/>
          <c:y val="0.13387353853495584"/>
          <c:w val="0.31686800868641418"/>
          <c:h val="0.784325777459635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42-4139-9B6E-A2D975815B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E42-4139-9B6E-A2D975815B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E42-4139-9B6E-A2D975815B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E42-4139-9B6E-A2D975815B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E42-4139-9B6E-A2D975815B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E42-4139-9B6E-A2D975815B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E42-4139-9B6E-A2D975815B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E42-4139-9B6E-A2D975815B4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(Setembro!$B$1:$G$1,Setembro!$K$1:$L$1)</c:f>
              <c:strCache>
                <c:ptCount val="8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</c:v>
                </c:pt>
                <c:pt idx="7">
                  <c:v>ALGT</c:v>
                </c:pt>
              </c:strCache>
            </c:strRef>
          </c:cat>
          <c:val>
            <c:numRef>
              <c:f>(Fevereiro!$B$33:$G$33,Fevereiro!$K$2:$L$2)</c:f>
              <c:numCache>
                <c:formatCode>General</c:formatCode>
                <c:ptCount val="8"/>
                <c:pt idx="0">
                  <c:v>112.91999999999999</c:v>
                </c:pt>
                <c:pt idx="1">
                  <c:v>10</c:v>
                </c:pt>
                <c:pt idx="2">
                  <c:v>40</c:v>
                </c:pt>
                <c:pt idx="3">
                  <c:v>10</c:v>
                </c:pt>
                <c:pt idx="4">
                  <c:v>0</c:v>
                </c:pt>
                <c:pt idx="5">
                  <c:v>162</c:v>
                </c:pt>
                <c:pt idx="6">
                  <c:v>250</c:v>
                </c:pt>
                <c:pt idx="7">
                  <c:v>43.38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E42-4139-9B6E-A2D975815B4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02484845644294"/>
          <c:y val="0.13387353853495584"/>
          <c:w val="0.31686800868641418"/>
          <c:h val="0.784325777459635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37A-4D4B-BF12-77B050F156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37A-4D4B-BF12-77B050F156D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37A-4D4B-BF12-77B050F156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37A-4D4B-BF12-77B050F156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37A-4D4B-BF12-77B050F156D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37A-4D4B-BF12-77B050F156D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37A-4D4B-BF12-77B050F156D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37A-4D4B-BF12-77B050F156D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(Setembro!$B$1:$G$1,Setembro!$K$1:$L$1)</c:f>
              <c:strCache>
                <c:ptCount val="8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</c:v>
                </c:pt>
                <c:pt idx="7">
                  <c:v>ALGT</c:v>
                </c:pt>
              </c:strCache>
            </c:strRef>
          </c:cat>
          <c:val>
            <c:numRef>
              <c:f>(Março!$B$33:$G$33,Março!$K$2:$L$2)</c:f>
              <c:numCache>
                <c:formatCode>General</c:formatCode>
                <c:ptCount val="8"/>
                <c:pt idx="0">
                  <c:v>67.760000000000005</c:v>
                </c:pt>
                <c:pt idx="1">
                  <c:v>26</c:v>
                </c:pt>
                <c:pt idx="2">
                  <c:v>45</c:v>
                </c:pt>
                <c:pt idx="3">
                  <c:v>21</c:v>
                </c:pt>
                <c:pt idx="4">
                  <c:v>0</c:v>
                </c:pt>
                <c:pt idx="5">
                  <c:v>285</c:v>
                </c:pt>
                <c:pt idx="6">
                  <c:v>250</c:v>
                </c:pt>
                <c:pt idx="7">
                  <c:v>87.9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37A-4D4B-BF12-77B050F156D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02484845644294"/>
          <c:y val="0.13387353853495584"/>
          <c:w val="0.31686800868641418"/>
          <c:h val="0.784325777459635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550-4001-9227-7E5F8C4661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550-4001-9227-7E5F8C4661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550-4001-9227-7E5F8C4661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550-4001-9227-7E5F8C4661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550-4001-9227-7E5F8C4661C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550-4001-9227-7E5F8C4661C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550-4001-9227-7E5F8C4661C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550-4001-9227-7E5F8C4661C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(Setembro!$B$1:$G$1,Setembro!$K$1:$L$1)</c:f>
              <c:strCache>
                <c:ptCount val="8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</c:v>
                </c:pt>
                <c:pt idx="7">
                  <c:v>ALGT</c:v>
                </c:pt>
              </c:strCache>
            </c:strRef>
          </c:cat>
          <c:val>
            <c:numRef>
              <c:f>(Abril!$B$33:$G$33,Abril!$K$2:$L$2)</c:f>
              <c:numCache>
                <c:formatCode>General</c:formatCode>
                <c:ptCount val="8"/>
                <c:pt idx="0">
                  <c:v>75.400000000000006</c:v>
                </c:pt>
                <c:pt idx="1">
                  <c:v>101.75</c:v>
                </c:pt>
                <c:pt idx="2">
                  <c:v>30</c:v>
                </c:pt>
                <c:pt idx="3">
                  <c:v>21</c:v>
                </c:pt>
                <c:pt idx="4">
                  <c:v>47.3</c:v>
                </c:pt>
                <c:pt idx="5">
                  <c:v>546.5</c:v>
                </c:pt>
                <c:pt idx="6">
                  <c:v>250</c:v>
                </c:pt>
                <c:pt idx="7">
                  <c:v>29.01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550-4001-9227-7E5F8C4661C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02484845644294"/>
          <c:y val="0.13387353853495584"/>
          <c:w val="0.31686800868641418"/>
          <c:h val="0.784325777459635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59F-4CDF-A662-2ABDB5E9F3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59F-4CDF-A662-2ABDB5E9F3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59F-4CDF-A662-2ABDB5E9F3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59F-4CDF-A662-2ABDB5E9F3A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59F-4CDF-A662-2ABDB5E9F3A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59F-4CDF-A662-2ABDB5E9F3A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59F-4CDF-A662-2ABDB5E9F3A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59F-4CDF-A662-2ABDB5E9F3A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(Setembro!$B$1:$G$1,Setembro!$K$1:$L$1)</c:f>
              <c:strCache>
                <c:ptCount val="8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</c:v>
                </c:pt>
                <c:pt idx="7">
                  <c:v>ALGT</c:v>
                </c:pt>
              </c:strCache>
            </c:strRef>
          </c:cat>
          <c:val>
            <c:numRef>
              <c:f>(Maio!$B$33:$G$33,Maio!$K$2:$L$2)</c:f>
              <c:numCache>
                <c:formatCode>General</c:formatCode>
                <c:ptCount val="8"/>
                <c:pt idx="0">
                  <c:v>68.38</c:v>
                </c:pt>
                <c:pt idx="1">
                  <c:v>128.35</c:v>
                </c:pt>
                <c:pt idx="2">
                  <c:v>105</c:v>
                </c:pt>
                <c:pt idx="3">
                  <c:v>41.2</c:v>
                </c:pt>
                <c:pt idx="4">
                  <c:v>60</c:v>
                </c:pt>
                <c:pt idx="5">
                  <c:v>248.4</c:v>
                </c:pt>
                <c:pt idx="6">
                  <c:v>250</c:v>
                </c:pt>
                <c:pt idx="7">
                  <c:v>72.2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59F-4CDF-A662-2ABDB5E9F3A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02484845644294"/>
          <c:y val="0.13387353853495584"/>
          <c:w val="0.31686800868641418"/>
          <c:h val="0.784325777459635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120-47E4-A0E5-45C4614B51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120-47E4-A0E5-45C4614B51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120-47E4-A0E5-45C4614B51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120-47E4-A0E5-45C4614B51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120-47E4-A0E5-45C4614B517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120-47E4-A0E5-45C4614B517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120-47E4-A0E5-45C4614B517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120-47E4-A0E5-45C4614B517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(Setembro!$B$1:$G$1,Setembro!$K$1:$L$1)</c:f>
              <c:strCache>
                <c:ptCount val="8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</c:v>
                </c:pt>
                <c:pt idx="7">
                  <c:v>ALGT</c:v>
                </c:pt>
              </c:strCache>
            </c:strRef>
          </c:cat>
          <c:val>
            <c:numRef>
              <c:f>(Junho!$B$33:$G$33,Junho!$K$2:$L$2)</c:f>
              <c:numCache>
                <c:formatCode>General</c:formatCode>
                <c:ptCount val="8"/>
                <c:pt idx="0">
                  <c:v>75.5</c:v>
                </c:pt>
                <c:pt idx="1">
                  <c:v>126.7</c:v>
                </c:pt>
                <c:pt idx="2">
                  <c:v>130</c:v>
                </c:pt>
                <c:pt idx="3">
                  <c:v>47</c:v>
                </c:pt>
                <c:pt idx="4">
                  <c:v>107</c:v>
                </c:pt>
                <c:pt idx="5">
                  <c:v>95.5</c:v>
                </c:pt>
                <c:pt idx="6">
                  <c:v>217</c:v>
                </c:pt>
                <c:pt idx="7">
                  <c:v>54.16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120-47E4-A0E5-45C4614B517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02484845644294"/>
          <c:y val="0.13387353853495584"/>
          <c:w val="0.31686800868641418"/>
          <c:h val="0.784325777459635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77B-4FA3-A563-DC77FFDCBD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77B-4FA3-A563-DC77FFDCBD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77B-4FA3-A563-DC77FFDCBD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77B-4FA3-A563-DC77FFDCBD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77B-4FA3-A563-DC77FFDCBD7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77B-4FA3-A563-DC77FFDCBD7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77B-4FA3-A563-DC77FFDCBD7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77B-4FA3-A563-DC77FFDCBD7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(Setembro!$B$1:$G$1,Setembro!$K$1:$L$1)</c:f>
              <c:strCache>
                <c:ptCount val="8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</c:v>
                </c:pt>
                <c:pt idx="7">
                  <c:v>ALGT</c:v>
                </c:pt>
              </c:strCache>
            </c:strRef>
          </c:cat>
          <c:val>
            <c:numRef>
              <c:f>(Julho!$B$33:$G$33,Julho!$K$2:$L$2)</c:f>
              <c:numCache>
                <c:formatCode>General</c:formatCode>
                <c:ptCount val="8"/>
                <c:pt idx="0">
                  <c:v>88.37</c:v>
                </c:pt>
                <c:pt idx="1">
                  <c:v>48.9</c:v>
                </c:pt>
                <c:pt idx="2">
                  <c:v>100</c:v>
                </c:pt>
                <c:pt idx="3">
                  <c:v>20</c:v>
                </c:pt>
                <c:pt idx="4">
                  <c:v>8.4</c:v>
                </c:pt>
                <c:pt idx="5">
                  <c:v>24.5</c:v>
                </c:pt>
                <c:pt idx="6">
                  <c:v>217</c:v>
                </c:pt>
                <c:pt idx="7">
                  <c:v>46.78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77B-4FA3-A563-DC77FFDCBD7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02484845644294"/>
          <c:y val="0.13387353853495584"/>
          <c:w val="0.31686800868641418"/>
          <c:h val="0.784325777459635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889-4C69-BB92-909032A9B1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889-4C69-BB92-909032A9B1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889-4C69-BB92-909032A9B17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889-4C69-BB92-909032A9B17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889-4C69-BB92-909032A9B17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889-4C69-BB92-909032A9B17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889-4C69-BB92-909032A9B17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889-4C69-BB92-909032A9B17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(Setembro!$B$1:$G$1,Setembro!$K$1:$L$1)</c:f>
              <c:strCache>
                <c:ptCount val="8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</c:v>
                </c:pt>
                <c:pt idx="7">
                  <c:v>ALGT</c:v>
                </c:pt>
              </c:strCache>
            </c:strRef>
          </c:cat>
          <c:val>
            <c:numRef>
              <c:f>(Agosto!$B$33:$G$33,Agosto!$K$2:$L$2)</c:f>
              <c:numCache>
                <c:formatCode>General</c:formatCode>
                <c:ptCount val="8"/>
                <c:pt idx="0">
                  <c:v>40.57</c:v>
                </c:pt>
                <c:pt idx="1">
                  <c:v>147.5</c:v>
                </c:pt>
                <c:pt idx="2">
                  <c:v>140</c:v>
                </c:pt>
                <c:pt idx="3">
                  <c:v>27.099999999999998</c:v>
                </c:pt>
                <c:pt idx="4">
                  <c:v>76.599999999999994</c:v>
                </c:pt>
                <c:pt idx="5">
                  <c:v>289.86</c:v>
                </c:pt>
                <c:pt idx="6">
                  <c:v>217</c:v>
                </c:pt>
                <c:pt idx="7">
                  <c:v>29.080000000000013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889-4C69-BB92-909032A9B17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02484845644294"/>
          <c:y val="0.13387353853495584"/>
          <c:w val="0.31686800868641418"/>
          <c:h val="0.784325777459635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A11-4D87-90A2-86F7F0715D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A11-4D87-90A2-86F7F0715D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A11-4D87-90A2-86F7F0715D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A11-4D87-90A2-86F7F0715D0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A11-4D87-90A2-86F7F0715D0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A11-4D87-90A2-86F7F0715D0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A11-4D87-90A2-86F7F0715D0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A11-4D87-90A2-86F7F0715D0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(Setembro!$B$1:$G$1,Setembro!$K$1:$L$1)</c:f>
              <c:strCache>
                <c:ptCount val="8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</c:v>
                </c:pt>
                <c:pt idx="7">
                  <c:v>ALGT</c:v>
                </c:pt>
              </c:strCache>
            </c:strRef>
          </c:cat>
          <c:val>
            <c:numRef>
              <c:f>(Setembro!$B$33:$G$33,Setembro!$K$2:$L$2)</c:f>
              <c:numCache>
                <c:formatCode>General</c:formatCode>
                <c:ptCount val="8"/>
                <c:pt idx="0">
                  <c:v>117.4</c:v>
                </c:pt>
                <c:pt idx="1">
                  <c:v>82.4</c:v>
                </c:pt>
                <c:pt idx="2">
                  <c:v>20</c:v>
                </c:pt>
                <c:pt idx="3">
                  <c:v>53.5</c:v>
                </c:pt>
                <c:pt idx="4">
                  <c:v>56.25</c:v>
                </c:pt>
                <c:pt idx="5">
                  <c:v>42.41</c:v>
                </c:pt>
                <c:pt idx="6">
                  <c:v>217</c:v>
                </c:pt>
                <c:pt idx="7">
                  <c:v>29.449999999999989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A11-4D87-90A2-86F7F0715D0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02484845644294"/>
          <c:y val="0.13387353853495584"/>
          <c:w val="0.31686800868641418"/>
          <c:h val="0.784325777459635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DBD-4B78-BD1B-9D85231BDD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DBD-4B78-BD1B-9D85231BDD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DBD-4B78-BD1B-9D85231BDD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DBD-4B78-BD1B-9D85231BDD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DBD-4B78-BD1B-9D85231BDD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DBD-4B78-BD1B-9D85231BDD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DBD-4B78-BD1B-9D85231BDD3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DBD-4B78-BD1B-9D85231BDD3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(Outubro!$B$1:$G$1,Outubro!$K$1:$L$1)</c:f>
              <c:strCache>
                <c:ptCount val="8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</c:v>
                </c:pt>
                <c:pt idx="7">
                  <c:v>ALGT</c:v>
                </c:pt>
              </c:strCache>
            </c:strRef>
          </c:cat>
          <c:val>
            <c:numRef>
              <c:f>(Outubro!$B$33:$G$33,Outubro!$K$2:$L$2)</c:f>
              <c:numCache>
                <c:formatCode>General</c:formatCode>
                <c:ptCount val="8"/>
                <c:pt idx="0">
                  <c:v>33.11</c:v>
                </c:pt>
                <c:pt idx="1">
                  <c:v>63.529999999999994</c:v>
                </c:pt>
                <c:pt idx="2">
                  <c:v>80</c:v>
                </c:pt>
                <c:pt idx="3">
                  <c:v>51.15</c:v>
                </c:pt>
                <c:pt idx="4">
                  <c:v>102.3</c:v>
                </c:pt>
                <c:pt idx="5">
                  <c:v>161</c:v>
                </c:pt>
                <c:pt idx="6">
                  <c:v>217</c:v>
                </c:pt>
                <c:pt idx="7">
                  <c:v>37.009999999999991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DBD-4B78-BD1B-9D85231BDD3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02484845644294"/>
          <c:y val="0.13387353853495584"/>
          <c:w val="0.31686800868641418"/>
          <c:h val="0.784325777459635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B6-429F-8ACE-CFFD30D38B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B6-429F-8ACE-CFFD30D38B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0B6-429F-8ACE-CFFD30D38B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0B6-429F-8ACE-CFFD30D38B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0B6-429F-8ACE-CFFD30D38BB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0B6-429F-8ACE-CFFD30D38BB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0B6-429F-8ACE-CFFD30D38BB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0B6-429F-8ACE-CFFD30D38BB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(Dezembro!$B$1:$G$1,Dezembro!$K$1:$L$1)</c:f>
              <c:strCache>
                <c:ptCount val="8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</c:v>
                </c:pt>
                <c:pt idx="7">
                  <c:v>ALGT</c:v>
                </c:pt>
              </c:strCache>
            </c:strRef>
          </c:cat>
          <c:val>
            <c:numRef>
              <c:f>(Dezembro!$B$33:$G$33,Dezembro!$K$2:$L$2)</c:f>
              <c:numCache>
                <c:formatCode>General</c:formatCode>
                <c:ptCount val="8"/>
                <c:pt idx="0">
                  <c:v>54.98</c:v>
                </c:pt>
                <c:pt idx="1">
                  <c:v>178.2</c:v>
                </c:pt>
                <c:pt idx="2">
                  <c:v>80</c:v>
                </c:pt>
                <c:pt idx="3">
                  <c:v>20</c:v>
                </c:pt>
                <c:pt idx="4">
                  <c:v>49</c:v>
                </c:pt>
                <c:pt idx="5">
                  <c:v>283.15999999999997</c:v>
                </c:pt>
                <c:pt idx="6">
                  <c:v>217</c:v>
                </c:pt>
                <c:pt idx="7">
                  <c:v>32.430000000000007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0B6-429F-8ACE-CFFD30D38BB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02484845644294"/>
          <c:y val="0.13387353853495584"/>
          <c:w val="0.31686800868641418"/>
          <c:h val="0.784325777459635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17</xdr:row>
      <xdr:rowOff>19050</xdr:rowOff>
    </xdr:from>
    <xdr:to>
      <xdr:col>7</xdr:col>
      <xdr:colOff>297180</xdr:colOff>
      <xdr:row>41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0</xdr:rowOff>
    </xdr:from>
    <xdr:to>
      <xdr:col>16</xdr:col>
      <xdr:colOff>0</xdr:colOff>
      <xdr:row>32</xdr:row>
      <xdr:rowOff>182880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0</xdr:rowOff>
    </xdr:from>
    <xdr:to>
      <xdr:col>16</xdr:col>
      <xdr:colOff>0</xdr:colOff>
      <xdr:row>32</xdr:row>
      <xdr:rowOff>182880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0</xdr:rowOff>
    </xdr:from>
    <xdr:to>
      <xdr:col>16</xdr:col>
      <xdr:colOff>0</xdr:colOff>
      <xdr:row>32</xdr:row>
      <xdr:rowOff>182880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17</xdr:row>
      <xdr:rowOff>30480</xdr:rowOff>
    </xdr:from>
    <xdr:to>
      <xdr:col>16</xdr:col>
      <xdr:colOff>15240</xdr:colOff>
      <xdr:row>33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17</xdr:row>
      <xdr:rowOff>15240</xdr:rowOff>
    </xdr:from>
    <xdr:to>
      <xdr:col>16</xdr:col>
      <xdr:colOff>7620</xdr:colOff>
      <xdr:row>32</xdr:row>
      <xdr:rowOff>198120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0</xdr:rowOff>
    </xdr:from>
    <xdr:to>
      <xdr:col>16</xdr:col>
      <xdr:colOff>0</xdr:colOff>
      <xdr:row>32</xdr:row>
      <xdr:rowOff>182880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0</xdr:rowOff>
    </xdr:from>
    <xdr:to>
      <xdr:col>16</xdr:col>
      <xdr:colOff>0</xdr:colOff>
      <xdr:row>32</xdr:row>
      <xdr:rowOff>182880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17</xdr:row>
      <xdr:rowOff>7620</xdr:rowOff>
    </xdr:from>
    <xdr:to>
      <xdr:col>16</xdr:col>
      <xdr:colOff>7620</xdr:colOff>
      <xdr:row>32</xdr:row>
      <xdr:rowOff>190500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17</xdr:row>
      <xdr:rowOff>15240</xdr:rowOff>
    </xdr:from>
    <xdr:to>
      <xdr:col>16</xdr:col>
      <xdr:colOff>7620</xdr:colOff>
      <xdr:row>32</xdr:row>
      <xdr:rowOff>198120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17</xdr:row>
      <xdr:rowOff>15240</xdr:rowOff>
    </xdr:from>
    <xdr:to>
      <xdr:col>16</xdr:col>
      <xdr:colOff>7620</xdr:colOff>
      <xdr:row>32</xdr:row>
      <xdr:rowOff>198120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17</xdr:row>
      <xdr:rowOff>15240</xdr:rowOff>
    </xdr:from>
    <xdr:to>
      <xdr:col>16</xdr:col>
      <xdr:colOff>7620</xdr:colOff>
      <xdr:row>32</xdr:row>
      <xdr:rowOff>198120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18"/>
  <sheetViews>
    <sheetView workbookViewId="0">
      <selection activeCell="K20" sqref="K20"/>
    </sheetView>
  </sheetViews>
  <sheetFormatPr defaultRowHeight="15" x14ac:dyDescent="0.25"/>
  <cols>
    <col min="2" max="2" width="14.85546875" bestFit="1" customWidth="1"/>
    <col min="3" max="3" width="21.140625" bestFit="1" customWidth="1"/>
    <col min="4" max="4" width="20.5703125" bestFit="1" customWidth="1"/>
    <col min="5" max="5" width="15.140625" bestFit="1" customWidth="1"/>
    <col min="6" max="6" width="10.140625" bestFit="1" customWidth="1"/>
    <col min="7" max="8" width="8.7109375" bestFit="1" customWidth="1"/>
    <col min="9" max="9" width="15.140625" bestFit="1" customWidth="1"/>
    <col min="12" max="13" width="7.7109375" customWidth="1"/>
    <col min="14" max="14" width="5.28515625" customWidth="1"/>
    <col min="15" max="15" width="5.42578125" customWidth="1"/>
    <col min="16" max="16" width="16.85546875" bestFit="1" customWidth="1"/>
    <col min="17" max="17" width="10.28515625" bestFit="1" customWidth="1"/>
  </cols>
  <sheetData>
    <row r="2" spans="2:19" ht="15.75" thickBot="1" x14ac:dyDescent="0.3"/>
    <row r="3" spans="2:19" ht="16.5" thickBot="1" x14ac:dyDescent="0.3">
      <c r="C3" s="30" t="s">
        <v>25</v>
      </c>
      <c r="D3" s="29" t="s">
        <v>26</v>
      </c>
      <c r="E3" s="43" t="s">
        <v>1</v>
      </c>
      <c r="F3" s="43" t="s">
        <v>9</v>
      </c>
      <c r="G3" s="43" t="s">
        <v>2</v>
      </c>
      <c r="H3" s="43" t="s">
        <v>4</v>
      </c>
      <c r="I3" s="43" t="s">
        <v>29</v>
      </c>
      <c r="J3" s="74" t="s">
        <v>3</v>
      </c>
      <c r="K3" s="75" t="s">
        <v>28</v>
      </c>
      <c r="L3" s="54" t="s">
        <v>24</v>
      </c>
      <c r="M3" s="54" t="s">
        <v>24</v>
      </c>
      <c r="P3" s="10" t="s">
        <v>6</v>
      </c>
      <c r="Q3" s="20">
        <f>K16</f>
        <v>16063</v>
      </c>
    </row>
    <row r="4" spans="2:19" ht="16.5" thickBot="1" x14ac:dyDescent="0.3">
      <c r="B4" s="42" t="s">
        <v>11</v>
      </c>
      <c r="C4" s="38">
        <f>Janeiro!B33</f>
        <v>71</v>
      </c>
      <c r="D4" s="72">
        <f>Janeiro!C33</f>
        <v>35.700000000000003</v>
      </c>
      <c r="E4" s="72">
        <f>Janeiro!D33</f>
        <v>30</v>
      </c>
      <c r="F4" s="72">
        <f>Janeiro!E33</f>
        <v>37.4</v>
      </c>
      <c r="G4" s="72">
        <f>Janeiro!F33</f>
        <v>9</v>
      </c>
      <c r="H4" s="71">
        <f>Janeiro!G33</f>
        <v>71.7</v>
      </c>
      <c r="I4" s="46">
        <f>SUM(Janeiro!K2:L2)</f>
        <v>333.77</v>
      </c>
      <c r="J4" s="46">
        <f>SUM($C4:$I4)</f>
        <v>588.56999999999994</v>
      </c>
      <c r="K4" s="51">
        <f>Janeiro!L13</f>
        <v>967</v>
      </c>
      <c r="L4" s="48">
        <f>Janeiro!L16</f>
        <v>378.42999999999995</v>
      </c>
      <c r="M4" s="98">
        <f>L4*100/K4/100</f>
        <v>0.39134436401240946</v>
      </c>
      <c r="P4" s="15" t="s">
        <v>7</v>
      </c>
      <c r="Q4" s="19">
        <f>J16</f>
        <v>9638.92</v>
      </c>
    </row>
    <row r="5" spans="2:19" ht="16.5" thickBot="1" x14ac:dyDescent="0.3">
      <c r="B5" s="44" t="s">
        <v>12</v>
      </c>
      <c r="C5" s="39">
        <f>Fevereiro!B33</f>
        <v>112.91999999999999</v>
      </c>
      <c r="D5" s="36">
        <f>Fevereiro!C33</f>
        <v>10</v>
      </c>
      <c r="E5" s="36">
        <f>Fevereiro!D33</f>
        <v>40</v>
      </c>
      <c r="F5" s="36">
        <f>Fevereiro!E33</f>
        <v>10</v>
      </c>
      <c r="G5" s="36">
        <f>Fevereiro!F33</f>
        <v>0</v>
      </c>
      <c r="H5" s="37">
        <f>Fevereiro!G33</f>
        <v>162</v>
      </c>
      <c r="I5" s="47">
        <f>SUM(Fevereiro!K2:L2)</f>
        <v>293.38</v>
      </c>
      <c r="J5" s="46">
        <f t="shared" ref="J5:J15" si="0">SUM($C5:$I5)</f>
        <v>628.29999999999995</v>
      </c>
      <c r="K5" s="52">
        <f>Fevereiro!L13</f>
        <v>1134</v>
      </c>
      <c r="L5" s="48">
        <f>Fevereiro!L16</f>
        <v>505.70000000000005</v>
      </c>
      <c r="M5" s="98">
        <f>L5*100/K5/100</f>
        <v>0.44594356261022933</v>
      </c>
      <c r="P5" s="23" t="s">
        <v>8</v>
      </c>
      <c r="Q5" s="22">
        <f>Q3-Q4</f>
        <v>6424.08</v>
      </c>
      <c r="S5" s="77"/>
    </row>
    <row r="6" spans="2:19" ht="16.5" thickBot="1" x14ac:dyDescent="0.3">
      <c r="B6" s="44" t="s">
        <v>13</v>
      </c>
      <c r="C6" s="39">
        <f>Março!B33</f>
        <v>67.760000000000005</v>
      </c>
      <c r="D6" s="76">
        <f>Março!C33</f>
        <v>26</v>
      </c>
      <c r="E6" s="76">
        <f>Março!D33</f>
        <v>45</v>
      </c>
      <c r="F6" s="76">
        <f>Março!E33</f>
        <v>21</v>
      </c>
      <c r="G6" s="76">
        <f>Março!F33</f>
        <v>0</v>
      </c>
      <c r="H6" s="37">
        <f>Março!G33</f>
        <v>285</v>
      </c>
      <c r="I6" s="47">
        <f>SUM(Março!K2:L2)</f>
        <v>337.9</v>
      </c>
      <c r="J6" s="46">
        <f t="shared" si="0"/>
        <v>782.66</v>
      </c>
      <c r="K6" s="52">
        <f>Março!L13</f>
        <v>1115</v>
      </c>
      <c r="L6" s="48">
        <f>Março!L16</f>
        <v>332.34000000000003</v>
      </c>
      <c r="M6" s="98">
        <f>L6*100/K6/100</f>
        <v>0.2980627802690583</v>
      </c>
    </row>
    <row r="7" spans="2:19" ht="16.5" thickBot="1" x14ac:dyDescent="0.3">
      <c r="B7" s="44" t="s">
        <v>14</v>
      </c>
      <c r="C7" s="57">
        <f>Abril!B33</f>
        <v>75.400000000000006</v>
      </c>
      <c r="D7" s="36">
        <f>Abril!C33</f>
        <v>101.75</v>
      </c>
      <c r="E7" s="36">
        <f>Abril!D33</f>
        <v>30</v>
      </c>
      <c r="F7" s="36">
        <f>Abril!E33</f>
        <v>21</v>
      </c>
      <c r="G7" s="36">
        <f>Abril!F33</f>
        <v>47.3</v>
      </c>
      <c r="H7" s="37">
        <f>Abril!G33</f>
        <v>546.5</v>
      </c>
      <c r="I7" s="39">
        <f>SUM(Abril!K2:L2)</f>
        <v>279.01</v>
      </c>
      <c r="J7" s="46">
        <f t="shared" si="0"/>
        <v>1100.96</v>
      </c>
      <c r="K7" s="52">
        <f>Abril!L13</f>
        <v>1337</v>
      </c>
      <c r="L7" s="48">
        <f>Abril!L16</f>
        <v>236.03999999999996</v>
      </c>
      <c r="M7" s="98">
        <f>L7*100/K7/100</f>
        <v>0.17654450261780102</v>
      </c>
    </row>
    <row r="8" spans="2:19" ht="16.5" thickBot="1" x14ac:dyDescent="0.3">
      <c r="B8" s="44" t="s">
        <v>15</v>
      </c>
      <c r="C8" s="57">
        <f>Maio!B33</f>
        <v>68.38</v>
      </c>
      <c r="D8" s="36">
        <f>Maio!C33</f>
        <v>128.35</v>
      </c>
      <c r="E8" s="36">
        <f>Maio!D33</f>
        <v>105</v>
      </c>
      <c r="F8" s="36">
        <f>Maio!E33</f>
        <v>41.2</v>
      </c>
      <c r="G8" s="36">
        <f>Maio!F33</f>
        <v>60</v>
      </c>
      <c r="H8" s="59">
        <f>Maio!G33</f>
        <v>248.4</v>
      </c>
      <c r="I8" s="39">
        <f>SUM(Maio!K2:L2)</f>
        <v>322.2</v>
      </c>
      <c r="J8" s="46">
        <f t="shared" si="0"/>
        <v>973.53</v>
      </c>
      <c r="K8" s="52">
        <f>Maio!L13</f>
        <v>1139</v>
      </c>
      <c r="L8" s="48">
        <f>Maio!L16</f>
        <v>165.46999999999991</v>
      </c>
      <c r="M8" s="98">
        <f t="shared" ref="M8:M16" si="1">L8*100/K8/100</f>
        <v>0.14527655838454778</v>
      </c>
    </row>
    <row r="9" spans="2:19" ht="16.5" thickBot="1" x14ac:dyDescent="0.3">
      <c r="B9" s="44" t="s">
        <v>16</v>
      </c>
      <c r="C9" s="57">
        <f>Junho!B33</f>
        <v>75.5</v>
      </c>
      <c r="D9" s="36">
        <f>Junho!C33</f>
        <v>126.7</v>
      </c>
      <c r="E9" s="36">
        <f>Junho!D33</f>
        <v>130</v>
      </c>
      <c r="F9" s="36">
        <f>Junho!E33</f>
        <v>47</v>
      </c>
      <c r="G9" s="36">
        <f>Junho!F33</f>
        <v>107</v>
      </c>
      <c r="H9" s="37">
        <f>Junho!G33</f>
        <v>95.5</v>
      </c>
      <c r="I9" s="39">
        <f>SUM(Junho!K2:L2)</f>
        <v>271.15999999999997</v>
      </c>
      <c r="J9" s="46">
        <f t="shared" si="0"/>
        <v>852.86</v>
      </c>
      <c r="K9" s="52">
        <f>Junho!L13</f>
        <v>957</v>
      </c>
      <c r="L9" s="48">
        <f>Junho!L16</f>
        <v>104.13999999999999</v>
      </c>
      <c r="M9" s="98">
        <f t="shared" si="1"/>
        <v>0.10881922675026122</v>
      </c>
    </row>
    <row r="10" spans="2:19" ht="16.5" thickBot="1" x14ac:dyDescent="0.3">
      <c r="B10" s="44" t="s">
        <v>17</v>
      </c>
      <c r="C10" s="39">
        <f>Julho!B33</f>
        <v>88.37</v>
      </c>
      <c r="D10" s="36">
        <f>Julho!C33</f>
        <v>48.9</v>
      </c>
      <c r="E10" s="36">
        <f>Julho!D33</f>
        <v>100</v>
      </c>
      <c r="F10" s="36">
        <f>Julho!E33</f>
        <v>20</v>
      </c>
      <c r="G10" s="36">
        <f>Julho!F33</f>
        <v>8.4</v>
      </c>
      <c r="H10" s="59">
        <f>Julho!G33</f>
        <v>24.5</v>
      </c>
      <c r="I10" s="39">
        <f>SUM(Julho!K2:L2)</f>
        <v>263.77999999999997</v>
      </c>
      <c r="J10" s="46">
        <f t="shared" si="0"/>
        <v>553.94999999999993</v>
      </c>
      <c r="K10" s="52">
        <f>Julho!L13</f>
        <v>2004</v>
      </c>
      <c r="L10" s="48">
        <f>Julho!L16</f>
        <v>1450.0500000000002</v>
      </c>
      <c r="M10" s="98">
        <f t="shared" si="1"/>
        <v>0.72357784431137739</v>
      </c>
    </row>
    <row r="11" spans="2:19" ht="16.5" thickBot="1" x14ac:dyDescent="0.3">
      <c r="B11" s="44" t="s">
        <v>18</v>
      </c>
      <c r="C11" s="39">
        <f>Agosto!B33</f>
        <v>40.57</v>
      </c>
      <c r="D11" s="36">
        <f>Agosto!C33</f>
        <v>147.5</v>
      </c>
      <c r="E11" s="36">
        <f>Agosto!D33</f>
        <v>140</v>
      </c>
      <c r="F11" s="36">
        <f>Agosto!E33</f>
        <v>27.099999999999998</v>
      </c>
      <c r="G11" s="36">
        <f>Agosto!F33</f>
        <v>76.599999999999994</v>
      </c>
      <c r="H11" s="59">
        <f>Agosto!G33</f>
        <v>289.86</v>
      </c>
      <c r="I11" s="39">
        <f>SUM(Agosto!K2:L2)</f>
        <v>246.08</v>
      </c>
      <c r="J11" s="46">
        <f t="shared" si="0"/>
        <v>967.71</v>
      </c>
      <c r="K11" s="52">
        <f>Agosto!L13</f>
        <v>970</v>
      </c>
      <c r="L11" s="48">
        <f>Agosto!L16</f>
        <v>2.2899999999999636</v>
      </c>
      <c r="M11" s="98">
        <f t="shared" si="1"/>
        <v>2.3608247422680037E-3</v>
      </c>
    </row>
    <row r="12" spans="2:19" ht="16.5" thickBot="1" x14ac:dyDescent="0.3">
      <c r="B12" s="44" t="s">
        <v>19</v>
      </c>
      <c r="C12" s="39">
        <f>Setembro!B33</f>
        <v>117.4</v>
      </c>
      <c r="D12" s="36">
        <f>Setembro!C33</f>
        <v>82.4</v>
      </c>
      <c r="E12" s="36">
        <f>Setembro!D33</f>
        <v>20</v>
      </c>
      <c r="F12" s="36">
        <f>Setembro!E33</f>
        <v>53.5</v>
      </c>
      <c r="G12" s="36">
        <f>Setembro!F33</f>
        <v>56.25</v>
      </c>
      <c r="H12" s="59">
        <f>Setembro!G33</f>
        <v>42.41</v>
      </c>
      <c r="I12" s="39">
        <f>SUM(Setembro!K2:L2)</f>
        <v>246.45</v>
      </c>
      <c r="J12" s="46">
        <f t="shared" si="0"/>
        <v>618.41000000000008</v>
      </c>
      <c r="K12" s="52">
        <f>Setembro!L13</f>
        <v>1343</v>
      </c>
      <c r="L12" s="48">
        <f>Setembro!L16</f>
        <v>724.58999999999992</v>
      </c>
      <c r="M12" s="98">
        <f t="shared" si="1"/>
        <v>0.53953090096798195</v>
      </c>
    </row>
    <row r="13" spans="2:19" ht="16.5" thickBot="1" x14ac:dyDescent="0.3">
      <c r="B13" s="44" t="s">
        <v>20</v>
      </c>
      <c r="C13" s="36">
        <f>Outubro!B33</f>
        <v>33.11</v>
      </c>
      <c r="D13" s="36">
        <f>Outubro!C33</f>
        <v>63.529999999999994</v>
      </c>
      <c r="E13" s="36">
        <f>Outubro!D33</f>
        <v>80</v>
      </c>
      <c r="F13" s="36">
        <f>Outubro!E33</f>
        <v>51.15</v>
      </c>
      <c r="G13" s="36">
        <f>Outubro!F33</f>
        <v>102.3</v>
      </c>
      <c r="H13" s="36">
        <f>Outubro!G33</f>
        <v>161</v>
      </c>
      <c r="I13" s="57">
        <f>SUM(Outubro!K2:L2)</f>
        <v>254.01</v>
      </c>
      <c r="J13" s="46">
        <f t="shared" si="0"/>
        <v>745.09999999999991</v>
      </c>
      <c r="K13" s="52">
        <f>Outubro!L13</f>
        <v>990</v>
      </c>
      <c r="L13" s="48">
        <f>Outubro!L16</f>
        <v>244.90000000000009</v>
      </c>
      <c r="M13" s="98">
        <f t="shared" si="1"/>
        <v>0.24737373737373744</v>
      </c>
    </row>
    <row r="14" spans="2:19" ht="16.5" thickBot="1" x14ac:dyDescent="0.3">
      <c r="B14" s="44" t="s">
        <v>21</v>
      </c>
      <c r="C14" s="36">
        <f>Novembro!B33</f>
        <v>63.839999999999996</v>
      </c>
      <c r="D14" s="36">
        <f>Novembro!C33</f>
        <v>73.100000000000009</v>
      </c>
      <c r="E14" s="36">
        <f>Novembro!D33</f>
        <v>90</v>
      </c>
      <c r="F14" s="36">
        <f>Novembro!E33</f>
        <v>33.049999999999997</v>
      </c>
      <c r="G14" s="36">
        <f>Novembro!F33</f>
        <v>36.800000000000004</v>
      </c>
      <c r="H14" s="36">
        <f>Novembro!G33</f>
        <v>366.31</v>
      </c>
      <c r="I14" s="39">
        <f>SUM(Novembro!K2:L2)</f>
        <v>249</v>
      </c>
      <c r="J14" s="46">
        <f t="shared" si="0"/>
        <v>912.1</v>
      </c>
      <c r="K14" s="52">
        <f>Novembro!L13</f>
        <v>1980</v>
      </c>
      <c r="L14" s="48">
        <f>Novembro!L16</f>
        <v>1067.9000000000001</v>
      </c>
      <c r="M14" s="98">
        <f t="shared" si="1"/>
        <v>0.53934343434343435</v>
      </c>
    </row>
    <row r="15" spans="2:19" ht="16.5" thickBot="1" x14ac:dyDescent="0.3">
      <c r="B15" s="45" t="s">
        <v>22</v>
      </c>
      <c r="C15" s="41">
        <f>Dezembro!B33</f>
        <v>54.98</v>
      </c>
      <c r="D15" s="41">
        <f>Dezembro!C33</f>
        <v>178.2</v>
      </c>
      <c r="E15" s="41">
        <f>Dezembro!D33</f>
        <v>80</v>
      </c>
      <c r="F15" s="41">
        <f>Dezembro!E33</f>
        <v>20</v>
      </c>
      <c r="G15" s="41">
        <f>Dezembro!F33</f>
        <v>49</v>
      </c>
      <c r="H15" s="99">
        <f>Dezembro!G33</f>
        <v>283.15999999999997</v>
      </c>
      <c r="I15" s="40">
        <f>SUM(Dezembro!K2:L2)</f>
        <v>249.43</v>
      </c>
      <c r="J15" s="46">
        <f t="shared" si="0"/>
        <v>914.77</v>
      </c>
      <c r="K15" s="52">
        <f>Dezembro!L13</f>
        <v>2127</v>
      </c>
      <c r="L15" s="48">
        <f>Dezembro!L16</f>
        <v>1212.23</v>
      </c>
      <c r="M15" s="98">
        <f t="shared" si="1"/>
        <v>0.56992477668077102</v>
      </c>
    </row>
    <row r="16" spans="2:19" ht="16.5" thickBot="1" x14ac:dyDescent="0.3">
      <c r="B16" s="21" t="s">
        <v>10</v>
      </c>
      <c r="C16" s="49">
        <f t="shared" ref="C16" si="2">SUM(C4:C15)</f>
        <v>869.23000000000013</v>
      </c>
      <c r="D16" s="35">
        <f t="shared" ref="D16" si="3">SUM(D4:D15)</f>
        <v>1022.1299999999999</v>
      </c>
      <c r="E16" s="35">
        <f t="shared" ref="E16" si="4">SUM(E4:E15)</f>
        <v>890</v>
      </c>
      <c r="F16" s="35">
        <f t="shared" ref="F16" si="5">SUM(F4:F15)</f>
        <v>382.40000000000003</v>
      </c>
      <c r="G16" s="35">
        <f t="shared" ref="G16" si="6">SUM(G4:G15)</f>
        <v>552.65000000000009</v>
      </c>
      <c r="H16" s="35">
        <f t="shared" ref="H16" si="7">SUM(H4:H15)</f>
        <v>2576.34</v>
      </c>
      <c r="I16" s="35">
        <f t="shared" ref="I16" si="8">SUM(I4:I15)</f>
        <v>3346.1699999999996</v>
      </c>
      <c r="J16" s="53">
        <f>SUM(J4:J15)</f>
        <v>9638.92</v>
      </c>
      <c r="K16" s="53">
        <f>SUM(K4:K15)</f>
        <v>16063</v>
      </c>
      <c r="L16" s="50">
        <f>SUM(L4:L15)</f>
        <v>6424.08</v>
      </c>
      <c r="M16" s="98">
        <f t="shared" si="1"/>
        <v>0.39993027454398311</v>
      </c>
    </row>
    <row r="17" spans="9:13" x14ac:dyDescent="0.25">
      <c r="I17" s="77">
        <f>I16*100/K16/100</f>
        <v>0.20831538317873372</v>
      </c>
      <c r="J17" t="s">
        <v>93</v>
      </c>
      <c r="M17" s="100"/>
    </row>
    <row r="18" spans="9:13" x14ac:dyDescent="0.25">
      <c r="I18" s="101">
        <f>I16*100/J16/100</f>
        <v>0.34715196308300095</v>
      </c>
      <c r="J18" t="s">
        <v>94</v>
      </c>
    </row>
  </sheetData>
  <conditionalFormatting sqref="M4:M16">
    <cfRule type="cellIs" dxfId="27" priority="1" operator="lessThan">
      <formula>0.3</formula>
    </cfRule>
    <cfRule type="cellIs" dxfId="26" priority="2" operator="greaterThan">
      <formula>0.3</formula>
    </cfRule>
  </conditionalFormatting>
  <conditionalFormatting sqref="Q5">
    <cfRule type="cellIs" dxfId="25" priority="5" operator="lessThan">
      <formula>0</formula>
    </cfRule>
    <cfRule type="cellIs" dxfId="24" priority="6" operator="greaterThan">
      <formula>0</formula>
    </cfRule>
  </conditionalFormatting>
  <pageMargins left="0.7" right="0.7" top="0.75" bottom="0.75" header="0.3" footer="0.3"/>
  <pageSetup paperSize="9" orientation="portrait" r:id="rId1"/>
  <ignoredErrors>
    <ignoredError sqref="C7:H7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"/>
  <sheetViews>
    <sheetView tabSelected="1" workbookViewId="0">
      <selection activeCell="L14" sqref="L14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3" ht="16.5" thickBot="1" x14ac:dyDescent="0.3">
      <c r="A1" s="60" t="s">
        <v>0</v>
      </c>
      <c r="B1" s="30" t="s">
        <v>25</v>
      </c>
      <c r="C1" s="29" t="s">
        <v>26</v>
      </c>
      <c r="D1" s="30" t="s">
        <v>1</v>
      </c>
      <c r="E1" s="30" t="s">
        <v>9</v>
      </c>
      <c r="F1" s="30" t="s">
        <v>2</v>
      </c>
      <c r="G1" s="30" t="s">
        <v>4</v>
      </c>
      <c r="H1" s="31" t="s">
        <v>5</v>
      </c>
      <c r="I1" s="34" t="s">
        <v>3</v>
      </c>
      <c r="J1" s="1"/>
      <c r="K1" s="10" t="s">
        <v>23</v>
      </c>
      <c r="L1" s="96" t="s">
        <v>27</v>
      </c>
    </row>
    <row r="2" spans="1:13" ht="16.5" thickBot="1" x14ac:dyDescent="0.3">
      <c r="A2" s="18">
        <v>1</v>
      </c>
      <c r="B2" s="58"/>
      <c r="C2" s="56"/>
      <c r="D2" s="5"/>
      <c r="E2" s="4"/>
      <c r="F2" s="4"/>
      <c r="G2" s="4"/>
      <c r="H2" s="24"/>
      <c r="I2" s="33">
        <f>SUM(B2:H2)</f>
        <v>0</v>
      </c>
      <c r="J2" s="93"/>
      <c r="K2" s="94">
        <v>250</v>
      </c>
      <c r="L2" s="16">
        <f>13.57+11+59.2</f>
        <v>83.77000000000001</v>
      </c>
      <c r="M2">
        <f>K2+L2</f>
        <v>333.77</v>
      </c>
    </row>
    <row r="3" spans="1:13" ht="15.75" x14ac:dyDescent="0.25">
      <c r="A3" s="55">
        <v>2</v>
      </c>
      <c r="B3" s="6"/>
      <c r="C3" s="4"/>
      <c r="D3" s="3"/>
      <c r="E3" s="3"/>
      <c r="F3" s="3"/>
      <c r="G3" s="3"/>
      <c r="H3" s="25"/>
      <c r="I3" s="33">
        <f t="shared" ref="I3:I32" si="0">SUM(B3:H3)</f>
        <v>0</v>
      </c>
      <c r="J3" s="1"/>
    </row>
    <row r="4" spans="1:13" ht="15.75" x14ac:dyDescent="0.25">
      <c r="A4" s="55">
        <v>3</v>
      </c>
      <c r="B4" s="6"/>
      <c r="C4" s="3">
        <v>0.65</v>
      </c>
      <c r="D4" s="3"/>
      <c r="E4" s="3"/>
      <c r="F4" s="3"/>
      <c r="G4" s="3"/>
      <c r="H4" s="25"/>
      <c r="I4" s="33">
        <f t="shared" si="0"/>
        <v>0.65</v>
      </c>
      <c r="J4" s="1"/>
      <c r="K4" s="2"/>
      <c r="L4" s="1"/>
    </row>
    <row r="5" spans="1:13" ht="15.75" x14ac:dyDescent="0.25">
      <c r="A5" s="17">
        <v>4</v>
      </c>
      <c r="B5" s="6"/>
      <c r="C5" s="3"/>
      <c r="D5" s="3"/>
      <c r="E5" s="3"/>
      <c r="F5" s="3">
        <v>1</v>
      </c>
      <c r="G5" s="3">
        <v>20</v>
      </c>
      <c r="H5" s="25" t="s">
        <v>30</v>
      </c>
      <c r="I5" s="33">
        <f t="shared" si="0"/>
        <v>21</v>
      </c>
      <c r="J5" s="89"/>
      <c r="K5" s="90"/>
      <c r="L5" s="91"/>
    </row>
    <row r="6" spans="1:13" ht="15.75" x14ac:dyDescent="0.25">
      <c r="A6" s="17">
        <v>5</v>
      </c>
      <c r="B6" s="6"/>
      <c r="C6" s="3"/>
      <c r="D6" s="3"/>
      <c r="E6" s="3"/>
      <c r="F6" s="3">
        <v>2</v>
      </c>
      <c r="G6" s="3"/>
      <c r="H6" s="25"/>
      <c r="I6" s="33">
        <f t="shared" si="0"/>
        <v>2</v>
      </c>
      <c r="J6" s="1"/>
      <c r="K6" s="2"/>
      <c r="L6" s="1"/>
    </row>
    <row r="7" spans="1:13" ht="15.75" x14ac:dyDescent="0.25">
      <c r="A7" s="17">
        <v>6</v>
      </c>
      <c r="B7" s="6"/>
      <c r="C7" s="3"/>
      <c r="D7" s="3"/>
      <c r="E7" s="3"/>
      <c r="F7" s="3"/>
      <c r="G7" s="3"/>
      <c r="H7" s="25"/>
      <c r="I7" s="33">
        <f t="shared" si="0"/>
        <v>0</v>
      </c>
      <c r="J7" s="1"/>
      <c r="K7" s="2"/>
      <c r="L7" s="1"/>
    </row>
    <row r="8" spans="1:13" ht="15.75" x14ac:dyDescent="0.25">
      <c r="A8" s="17">
        <v>7</v>
      </c>
      <c r="B8" s="6"/>
      <c r="C8" s="3"/>
      <c r="D8" s="3"/>
      <c r="E8" s="3"/>
      <c r="F8" s="3"/>
      <c r="G8" s="3"/>
      <c r="H8" s="25"/>
      <c r="I8" s="33">
        <f t="shared" si="0"/>
        <v>0</v>
      </c>
      <c r="J8" s="1"/>
      <c r="K8" s="2"/>
      <c r="L8" s="1"/>
    </row>
    <row r="9" spans="1:13" ht="15.75" x14ac:dyDescent="0.25">
      <c r="A9" s="17">
        <v>8</v>
      </c>
      <c r="B9" s="6"/>
      <c r="C9" s="3"/>
      <c r="D9" s="3">
        <v>30</v>
      </c>
      <c r="E9" s="3"/>
      <c r="F9" s="3">
        <v>6</v>
      </c>
      <c r="G9" s="3"/>
      <c r="H9" s="25"/>
      <c r="I9" s="33">
        <f t="shared" si="0"/>
        <v>36</v>
      </c>
      <c r="J9" s="1"/>
      <c r="K9" s="2"/>
      <c r="L9" s="1"/>
    </row>
    <row r="10" spans="1:13" ht="15.75" x14ac:dyDescent="0.25">
      <c r="A10" s="55">
        <v>9</v>
      </c>
      <c r="B10" s="6"/>
      <c r="C10" s="3">
        <v>5</v>
      </c>
      <c r="D10" s="3"/>
      <c r="E10" s="3"/>
      <c r="F10" s="3"/>
      <c r="G10" s="3"/>
      <c r="H10" s="25"/>
      <c r="I10" s="33">
        <f t="shared" si="0"/>
        <v>5</v>
      </c>
      <c r="J10" s="1"/>
      <c r="K10" s="2"/>
      <c r="L10" s="1"/>
    </row>
    <row r="11" spans="1:13" ht="15.75" x14ac:dyDescent="0.25">
      <c r="A11" s="55">
        <v>10</v>
      </c>
      <c r="B11" s="6"/>
      <c r="C11" s="3"/>
      <c r="D11" s="3"/>
      <c r="E11" s="3">
        <v>11.4</v>
      </c>
      <c r="F11" s="3"/>
      <c r="G11" s="3"/>
      <c r="H11" s="25"/>
      <c r="I11" s="33">
        <f t="shared" si="0"/>
        <v>11.4</v>
      </c>
      <c r="J11" s="1"/>
      <c r="K11" s="2"/>
      <c r="L11" s="1"/>
    </row>
    <row r="12" spans="1:13" ht="16.5" thickBot="1" x14ac:dyDescent="0.3">
      <c r="A12" s="17">
        <v>11</v>
      </c>
      <c r="B12" s="6"/>
      <c r="C12" s="3">
        <v>0.65</v>
      </c>
      <c r="D12" s="3"/>
      <c r="E12" s="3"/>
      <c r="F12" s="3"/>
      <c r="G12" s="3"/>
      <c r="H12" s="25"/>
      <c r="I12" s="33">
        <f t="shared" si="0"/>
        <v>0.65</v>
      </c>
      <c r="J12" s="1"/>
      <c r="K12" s="2"/>
      <c r="L12" s="1"/>
    </row>
    <row r="13" spans="1:13" ht="16.5" thickBot="1" x14ac:dyDescent="0.3">
      <c r="A13" s="17">
        <v>12</v>
      </c>
      <c r="B13" s="6">
        <v>36.94</v>
      </c>
      <c r="C13" s="3">
        <v>0.9</v>
      </c>
      <c r="D13" s="3"/>
      <c r="E13" s="3"/>
      <c r="F13" s="3"/>
      <c r="G13" s="3"/>
      <c r="H13" s="25"/>
      <c r="I13" s="33">
        <f t="shared" si="0"/>
        <v>37.839999999999996</v>
      </c>
      <c r="J13" s="1"/>
      <c r="K13" s="10" t="s">
        <v>6</v>
      </c>
      <c r="L13" s="20">
        <v>967</v>
      </c>
      <c r="M13" s="80"/>
    </row>
    <row r="14" spans="1:13" ht="15.75" x14ac:dyDescent="0.25">
      <c r="A14" s="17">
        <v>13</v>
      </c>
      <c r="B14" s="6">
        <v>9.67</v>
      </c>
      <c r="C14" s="3"/>
      <c r="D14" s="3"/>
      <c r="E14" s="3"/>
      <c r="F14" s="3"/>
      <c r="G14" s="3"/>
      <c r="H14" s="25"/>
      <c r="I14" s="33">
        <f t="shared" si="0"/>
        <v>9.67</v>
      </c>
      <c r="J14" s="1"/>
      <c r="K14" s="15" t="s">
        <v>7</v>
      </c>
      <c r="L14" s="19">
        <f>SUM(B33:H33)+K2+L2</f>
        <v>588.57000000000005</v>
      </c>
      <c r="M14" s="87">
        <f>L14*100/L13/100</f>
        <v>0.60865563598759054</v>
      </c>
    </row>
    <row r="15" spans="1:13" ht="15.75" x14ac:dyDescent="0.25">
      <c r="A15" s="17">
        <v>14</v>
      </c>
      <c r="B15" s="6">
        <v>9.08</v>
      </c>
      <c r="C15" s="3"/>
      <c r="D15" s="3"/>
      <c r="E15" s="3"/>
      <c r="F15" s="3"/>
      <c r="G15" s="3"/>
      <c r="H15" s="25"/>
      <c r="I15" s="33">
        <f t="shared" si="0"/>
        <v>9.08</v>
      </c>
      <c r="J15" s="1"/>
      <c r="K15" s="13"/>
      <c r="L15" s="12"/>
      <c r="M15" s="86"/>
    </row>
    <row r="16" spans="1:13" ht="16.5" thickBot="1" x14ac:dyDescent="0.3">
      <c r="A16" s="17">
        <v>15</v>
      </c>
      <c r="B16" s="6"/>
      <c r="C16" s="3">
        <v>13.5</v>
      </c>
      <c r="D16" s="3"/>
      <c r="E16" s="3"/>
      <c r="F16" s="3"/>
      <c r="G16" s="3"/>
      <c r="H16" s="25" t="s">
        <v>37</v>
      </c>
      <c r="I16" s="33">
        <f t="shared" si="0"/>
        <v>13.5</v>
      </c>
      <c r="J16" s="1"/>
      <c r="K16" s="14" t="s">
        <v>8</v>
      </c>
      <c r="L16" s="11">
        <f>L13-L14</f>
        <v>378.42999999999995</v>
      </c>
      <c r="M16" s="88">
        <f>(L16*100/L13)/100</f>
        <v>0.39134436401240946</v>
      </c>
    </row>
    <row r="17" spans="1:12" ht="15.75" x14ac:dyDescent="0.25">
      <c r="A17" s="55">
        <v>16</v>
      </c>
      <c r="B17" s="6"/>
      <c r="C17" s="3"/>
      <c r="D17" s="3"/>
      <c r="E17" s="3"/>
      <c r="F17" s="3"/>
      <c r="G17" s="3"/>
      <c r="H17" s="25"/>
      <c r="I17" s="33">
        <f t="shared" si="0"/>
        <v>0</v>
      </c>
      <c r="J17" s="1"/>
      <c r="K17" s="1"/>
      <c r="L17" s="1"/>
    </row>
    <row r="18" spans="1:12" ht="15.75" x14ac:dyDescent="0.25">
      <c r="A18" s="55">
        <v>17</v>
      </c>
      <c r="B18" s="6"/>
      <c r="C18" s="3"/>
      <c r="D18" s="3"/>
      <c r="E18" s="3"/>
      <c r="F18" s="3"/>
      <c r="G18" s="3"/>
      <c r="H18" s="25"/>
      <c r="I18" s="33">
        <f t="shared" si="0"/>
        <v>0</v>
      </c>
      <c r="J18" s="1"/>
      <c r="K18" s="1"/>
      <c r="L18" s="1"/>
    </row>
    <row r="19" spans="1:12" ht="15.75" x14ac:dyDescent="0.25">
      <c r="A19" s="17">
        <v>18</v>
      </c>
      <c r="B19" s="6"/>
      <c r="C19" s="3"/>
      <c r="D19" s="3"/>
      <c r="E19" s="3"/>
      <c r="F19" s="3"/>
      <c r="G19" s="3"/>
      <c r="H19" s="25"/>
      <c r="I19" s="33">
        <f t="shared" si="0"/>
        <v>0</v>
      </c>
      <c r="J19" s="1"/>
      <c r="K19" s="1"/>
      <c r="L19" s="1"/>
    </row>
    <row r="20" spans="1:12" ht="15.75" x14ac:dyDescent="0.25">
      <c r="A20" s="17">
        <v>19</v>
      </c>
      <c r="B20" s="6">
        <v>0.9</v>
      </c>
      <c r="C20" s="3"/>
      <c r="D20" s="3"/>
      <c r="E20" s="3"/>
      <c r="F20" s="3"/>
      <c r="G20" s="3"/>
      <c r="H20" s="25"/>
      <c r="I20" s="33">
        <f t="shared" si="0"/>
        <v>0.9</v>
      </c>
      <c r="J20" s="1"/>
      <c r="K20" s="1"/>
      <c r="L20" s="1"/>
    </row>
    <row r="21" spans="1:12" ht="15.75" x14ac:dyDescent="0.25">
      <c r="A21" s="17">
        <v>20</v>
      </c>
      <c r="B21" s="6">
        <v>0.25</v>
      </c>
      <c r="C21" s="3"/>
      <c r="D21" s="3"/>
      <c r="E21" s="3"/>
      <c r="F21" s="3"/>
      <c r="G21" s="3"/>
      <c r="H21" s="25"/>
      <c r="I21" s="33">
        <f t="shared" si="0"/>
        <v>0.25</v>
      </c>
      <c r="J21" s="1"/>
      <c r="K21" s="1"/>
      <c r="L21" s="1"/>
    </row>
    <row r="22" spans="1:12" ht="15.75" x14ac:dyDescent="0.25">
      <c r="A22" s="17">
        <v>21</v>
      </c>
      <c r="B22" s="6"/>
      <c r="C22" s="3"/>
      <c r="D22" s="3"/>
      <c r="E22" s="3">
        <v>13</v>
      </c>
      <c r="F22" s="3"/>
      <c r="G22" s="3"/>
      <c r="H22" s="25"/>
      <c r="I22" s="33">
        <f t="shared" si="0"/>
        <v>13</v>
      </c>
      <c r="J22" s="1"/>
      <c r="K22" s="1"/>
      <c r="L22" s="1"/>
    </row>
    <row r="23" spans="1:12" ht="15.75" x14ac:dyDescent="0.25">
      <c r="A23" s="17">
        <v>22</v>
      </c>
      <c r="B23" s="6"/>
      <c r="C23" s="3"/>
      <c r="D23" s="3"/>
      <c r="E23" s="3"/>
      <c r="F23" s="3"/>
      <c r="G23" s="3"/>
      <c r="H23" s="25"/>
      <c r="I23" s="33">
        <f t="shared" si="0"/>
        <v>0</v>
      </c>
      <c r="J23" s="1"/>
      <c r="K23" s="1"/>
      <c r="L23" s="1"/>
    </row>
    <row r="24" spans="1:12" ht="15.75" x14ac:dyDescent="0.25">
      <c r="A24" s="55">
        <v>23</v>
      </c>
      <c r="B24" s="6"/>
      <c r="C24" s="3"/>
      <c r="D24" s="3"/>
      <c r="E24" s="3"/>
      <c r="F24" s="3"/>
      <c r="G24" s="3"/>
      <c r="H24" s="25"/>
      <c r="I24" s="33">
        <f t="shared" si="0"/>
        <v>0</v>
      </c>
      <c r="J24" s="1"/>
      <c r="K24" s="1"/>
      <c r="L24" s="1"/>
    </row>
    <row r="25" spans="1:12" ht="15.75" x14ac:dyDescent="0.25">
      <c r="A25" s="55">
        <v>24</v>
      </c>
      <c r="B25" s="6"/>
      <c r="C25" s="3"/>
      <c r="D25" s="3"/>
      <c r="E25" s="3">
        <v>13</v>
      </c>
      <c r="F25" s="3"/>
      <c r="G25" s="3"/>
      <c r="H25" s="25"/>
      <c r="I25" s="33">
        <f t="shared" si="0"/>
        <v>13</v>
      </c>
      <c r="J25" s="1"/>
      <c r="K25" s="1"/>
      <c r="L25" s="1"/>
    </row>
    <row r="26" spans="1:12" ht="15.75" x14ac:dyDescent="0.25">
      <c r="A26" s="17">
        <v>25</v>
      </c>
      <c r="B26" s="6">
        <v>0.9</v>
      </c>
      <c r="C26" s="3"/>
      <c r="D26" s="3"/>
      <c r="E26" s="3"/>
      <c r="F26" s="3"/>
      <c r="G26" s="3"/>
      <c r="H26" s="25"/>
      <c r="I26" s="33">
        <f t="shared" si="0"/>
        <v>0.9</v>
      </c>
      <c r="J26" s="1"/>
      <c r="K26" s="1"/>
      <c r="L26" s="1"/>
    </row>
    <row r="27" spans="1:12" ht="15.75" x14ac:dyDescent="0.25">
      <c r="A27" s="17">
        <v>26</v>
      </c>
      <c r="B27" s="6">
        <f>0.9+7.36</f>
        <v>8.26</v>
      </c>
      <c r="C27" s="3"/>
      <c r="D27" s="3"/>
      <c r="E27" s="3"/>
      <c r="F27" s="3"/>
      <c r="G27" s="3"/>
      <c r="H27" s="25"/>
      <c r="I27" s="33">
        <f t="shared" si="0"/>
        <v>8.26</v>
      </c>
      <c r="J27" s="1"/>
      <c r="K27" s="1"/>
      <c r="L27" s="1"/>
    </row>
    <row r="28" spans="1:12" ht="15.75" x14ac:dyDescent="0.25">
      <c r="A28" s="17">
        <v>27</v>
      </c>
      <c r="B28" s="6">
        <v>5</v>
      </c>
      <c r="C28" s="3"/>
      <c r="D28" s="3"/>
      <c r="E28" s="3"/>
      <c r="F28" s="3"/>
      <c r="G28" s="3">
        <v>50</v>
      </c>
      <c r="H28" s="25"/>
      <c r="I28" s="33">
        <f t="shared" si="0"/>
        <v>55</v>
      </c>
      <c r="J28" s="1"/>
      <c r="K28" s="1"/>
      <c r="L28" s="1"/>
    </row>
    <row r="29" spans="1:12" ht="15.75" x14ac:dyDescent="0.25">
      <c r="A29" s="17">
        <v>28</v>
      </c>
      <c r="B29" s="61"/>
      <c r="C29" s="3"/>
      <c r="D29" s="3"/>
      <c r="E29" s="3"/>
      <c r="F29" s="3"/>
      <c r="G29" s="3"/>
      <c r="H29" s="25"/>
      <c r="I29" s="33">
        <f t="shared" si="0"/>
        <v>0</v>
      </c>
      <c r="J29" s="1"/>
      <c r="K29" s="1"/>
      <c r="L29" s="1"/>
    </row>
    <row r="30" spans="1:12" ht="15.75" x14ac:dyDescent="0.25">
      <c r="A30" s="17">
        <v>29</v>
      </c>
      <c r="B30" s="6"/>
      <c r="C30" s="3"/>
      <c r="D30" s="3"/>
      <c r="E30" s="3"/>
      <c r="F30" s="3"/>
      <c r="G30" s="3"/>
      <c r="H30" s="25"/>
      <c r="I30" s="33">
        <f t="shared" si="0"/>
        <v>0</v>
      </c>
      <c r="J30" s="1"/>
      <c r="K30" s="1"/>
      <c r="L30" s="1"/>
    </row>
    <row r="31" spans="1:12" ht="15.75" x14ac:dyDescent="0.25">
      <c r="A31" s="55">
        <v>30</v>
      </c>
      <c r="B31" s="6"/>
      <c r="C31" s="3">
        <v>15</v>
      </c>
      <c r="D31" s="3"/>
      <c r="E31" s="3"/>
      <c r="F31" s="3"/>
      <c r="G31" s="3"/>
      <c r="H31" s="25" t="s">
        <v>38</v>
      </c>
      <c r="I31" s="33">
        <f t="shared" si="0"/>
        <v>15</v>
      </c>
      <c r="J31" s="1"/>
      <c r="K31" s="1"/>
      <c r="L31" s="1"/>
    </row>
    <row r="32" spans="1:12" ht="16.5" thickBot="1" x14ac:dyDescent="0.3">
      <c r="A32" s="55">
        <v>31</v>
      </c>
      <c r="B32" s="7"/>
      <c r="C32" s="8"/>
      <c r="D32" s="8"/>
      <c r="E32" s="8"/>
      <c r="F32" s="8"/>
      <c r="G32" s="8">
        <v>1.7</v>
      </c>
      <c r="H32" s="26"/>
      <c r="I32" s="33">
        <f t="shared" si="0"/>
        <v>1.7</v>
      </c>
      <c r="J32" s="1"/>
      <c r="K32" s="1"/>
      <c r="L32" s="1"/>
    </row>
    <row r="33" spans="1:9" ht="16.5" thickBot="1" x14ac:dyDescent="0.3">
      <c r="A33" s="9" t="s">
        <v>3</v>
      </c>
      <c r="B33" s="27">
        <f>SUM(B2:B32)</f>
        <v>71</v>
      </c>
      <c r="C33" s="28">
        <f>SUM(C2:C32)</f>
        <v>35.700000000000003</v>
      </c>
      <c r="D33" s="27">
        <f t="shared" ref="D33:H33" si="1">SUM(D2:D32)</f>
        <v>30</v>
      </c>
      <c r="E33" s="28">
        <f t="shared" si="1"/>
        <v>37.4</v>
      </c>
      <c r="F33" s="28">
        <f t="shared" si="1"/>
        <v>9</v>
      </c>
      <c r="G33" s="27">
        <f t="shared" si="1"/>
        <v>71.7</v>
      </c>
      <c r="H33" s="28">
        <f t="shared" si="1"/>
        <v>0</v>
      </c>
      <c r="I33" s="32">
        <f>SUM(I2:I32)</f>
        <v>254.8</v>
      </c>
    </row>
  </sheetData>
  <conditionalFormatting sqref="L16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3"/>
  <sheetViews>
    <sheetView topLeftCell="A13" workbookViewId="0">
      <selection activeCell="H30" sqref="H30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3" ht="16.5" thickBot="1" x14ac:dyDescent="0.3">
      <c r="A1" s="60" t="s">
        <v>0</v>
      </c>
      <c r="B1" s="30" t="s">
        <v>25</v>
      </c>
      <c r="C1" s="29" t="s">
        <v>26</v>
      </c>
      <c r="D1" s="30" t="s">
        <v>1</v>
      </c>
      <c r="E1" s="30" t="s">
        <v>9</v>
      </c>
      <c r="F1" s="30" t="s">
        <v>2</v>
      </c>
      <c r="G1" s="30" t="s">
        <v>4</v>
      </c>
      <c r="H1" s="31" t="s">
        <v>5</v>
      </c>
      <c r="I1" s="34" t="s">
        <v>3</v>
      </c>
      <c r="J1" s="1"/>
      <c r="K1" s="10" t="s">
        <v>23</v>
      </c>
      <c r="L1" s="96" t="s">
        <v>27</v>
      </c>
    </row>
    <row r="2" spans="1:13" ht="16.5" thickBot="1" x14ac:dyDescent="0.3">
      <c r="A2" s="17">
        <v>1</v>
      </c>
      <c r="B2" s="58">
        <v>3.6</v>
      </c>
      <c r="C2" s="56"/>
      <c r="D2" s="5"/>
      <c r="E2" s="4"/>
      <c r="F2" s="4"/>
      <c r="G2" s="4">
        <v>40</v>
      </c>
      <c r="H2" s="24" t="s">
        <v>31</v>
      </c>
      <c r="I2" s="33">
        <f>SUM(B2:H2)</f>
        <v>43.6</v>
      </c>
      <c r="J2" s="1"/>
      <c r="K2" s="94">
        <v>250</v>
      </c>
      <c r="L2" s="16">
        <f>18.16+11+14.22</f>
        <v>43.38</v>
      </c>
      <c r="M2">
        <f>K2+L2</f>
        <v>293.38</v>
      </c>
    </row>
    <row r="3" spans="1:13" ht="15.75" x14ac:dyDescent="0.25">
      <c r="A3" s="17">
        <v>2</v>
      </c>
      <c r="B3" s="6"/>
      <c r="C3" s="4"/>
      <c r="D3" s="3"/>
      <c r="E3" s="3"/>
      <c r="F3" s="3"/>
      <c r="G3" s="3">
        <v>15</v>
      </c>
      <c r="H3" s="25" t="s">
        <v>32</v>
      </c>
      <c r="I3" s="33">
        <f t="shared" ref="I3:I32" si="0">SUM(B3:H3)</f>
        <v>15</v>
      </c>
      <c r="J3" s="89"/>
      <c r="K3" s="90"/>
      <c r="L3" s="91"/>
    </row>
    <row r="4" spans="1:13" ht="15.75" x14ac:dyDescent="0.25">
      <c r="A4" s="17">
        <v>3</v>
      </c>
      <c r="B4" s="6">
        <v>35.619999999999997</v>
      </c>
      <c r="C4" s="3"/>
      <c r="D4" s="3"/>
      <c r="E4" s="3"/>
      <c r="F4" s="3"/>
      <c r="G4" s="3"/>
      <c r="H4" s="25"/>
      <c r="I4" s="33">
        <f t="shared" si="0"/>
        <v>35.619999999999997</v>
      </c>
      <c r="J4" s="1"/>
      <c r="K4" s="2"/>
      <c r="L4" s="78"/>
    </row>
    <row r="5" spans="1:13" ht="15.75" x14ac:dyDescent="0.25">
      <c r="A5" s="17">
        <v>4</v>
      </c>
      <c r="B5" s="6"/>
      <c r="C5" s="3"/>
      <c r="D5" s="3"/>
      <c r="E5" s="3"/>
      <c r="F5" s="3"/>
      <c r="G5" s="3"/>
      <c r="H5" s="25"/>
      <c r="I5" s="33">
        <f t="shared" si="0"/>
        <v>0</v>
      </c>
      <c r="J5" s="1"/>
      <c r="K5" s="2"/>
      <c r="L5" s="1"/>
    </row>
    <row r="6" spans="1:13" ht="15.75" x14ac:dyDescent="0.25">
      <c r="A6" s="17">
        <v>5</v>
      </c>
      <c r="B6" s="6"/>
      <c r="C6" s="3"/>
      <c r="D6" s="3"/>
      <c r="E6" s="3"/>
      <c r="F6" s="3"/>
      <c r="G6" s="3"/>
      <c r="H6" s="25"/>
      <c r="I6" s="33">
        <f t="shared" si="0"/>
        <v>0</v>
      </c>
      <c r="J6" s="1"/>
      <c r="K6" s="2"/>
      <c r="L6" s="1"/>
    </row>
    <row r="7" spans="1:13" ht="15.75" x14ac:dyDescent="0.25">
      <c r="A7" s="55">
        <v>6</v>
      </c>
      <c r="B7" s="6"/>
      <c r="C7" s="3"/>
      <c r="D7" s="3"/>
      <c r="E7" s="3"/>
      <c r="F7" s="3"/>
      <c r="G7" s="3"/>
      <c r="H7" s="25"/>
      <c r="I7" s="33">
        <f t="shared" si="0"/>
        <v>0</v>
      </c>
      <c r="J7" s="1"/>
      <c r="K7" s="2"/>
      <c r="L7" s="1"/>
    </row>
    <row r="8" spans="1:13" ht="15.75" x14ac:dyDescent="0.25">
      <c r="A8" s="55">
        <v>7</v>
      </c>
      <c r="B8" s="6"/>
      <c r="C8" s="3"/>
      <c r="D8" s="3"/>
      <c r="E8" s="3"/>
      <c r="F8" s="3"/>
      <c r="G8" s="3"/>
      <c r="H8" s="25"/>
      <c r="I8" s="33">
        <f t="shared" si="0"/>
        <v>0</v>
      </c>
      <c r="J8" s="1"/>
      <c r="K8" s="2"/>
      <c r="L8" s="1"/>
    </row>
    <row r="9" spans="1:13" ht="15.75" x14ac:dyDescent="0.25">
      <c r="A9" s="17">
        <v>8</v>
      </c>
      <c r="B9" s="6">
        <v>15.65</v>
      </c>
      <c r="C9" s="3"/>
      <c r="D9" s="3"/>
      <c r="E9" s="3"/>
      <c r="F9" s="3"/>
      <c r="G9" s="3"/>
      <c r="H9" s="25"/>
      <c r="I9" s="33">
        <f t="shared" si="0"/>
        <v>15.65</v>
      </c>
      <c r="J9" s="1"/>
      <c r="K9" s="2"/>
      <c r="L9" s="1"/>
    </row>
    <row r="10" spans="1:13" ht="15.75" x14ac:dyDescent="0.25">
      <c r="A10" s="17">
        <v>9</v>
      </c>
      <c r="B10" s="6"/>
      <c r="C10" s="3"/>
      <c r="D10" s="3">
        <v>20</v>
      </c>
      <c r="E10" s="3"/>
      <c r="F10" s="3"/>
      <c r="G10" s="3"/>
      <c r="H10" s="25"/>
      <c r="I10" s="33">
        <f t="shared" si="0"/>
        <v>20</v>
      </c>
      <c r="J10" s="1"/>
      <c r="K10" s="2"/>
      <c r="L10" s="1"/>
    </row>
    <row r="11" spans="1:13" ht="15.75" x14ac:dyDescent="0.25">
      <c r="A11" s="17">
        <v>10</v>
      </c>
      <c r="B11" s="6">
        <v>1.85</v>
      </c>
      <c r="C11" s="3"/>
      <c r="D11" s="3"/>
      <c r="E11" s="3"/>
      <c r="F11" s="3"/>
      <c r="G11" s="3"/>
      <c r="H11" s="25"/>
      <c r="I11" s="33">
        <f t="shared" si="0"/>
        <v>1.85</v>
      </c>
      <c r="J11" s="1"/>
      <c r="K11" s="2"/>
      <c r="L11" s="1"/>
    </row>
    <row r="12" spans="1:13" ht="16.5" thickBot="1" x14ac:dyDescent="0.3">
      <c r="A12" s="17">
        <v>11</v>
      </c>
      <c r="B12" s="6"/>
      <c r="C12" s="3"/>
      <c r="D12" s="3"/>
      <c r="E12" s="3"/>
      <c r="F12" s="3"/>
      <c r="G12" s="3"/>
      <c r="H12" s="25"/>
      <c r="I12" s="33">
        <f t="shared" si="0"/>
        <v>0</v>
      </c>
      <c r="J12" s="1"/>
      <c r="K12" s="2"/>
      <c r="L12" s="1"/>
    </row>
    <row r="13" spans="1:13" ht="16.5" thickBot="1" x14ac:dyDescent="0.3">
      <c r="A13" s="17">
        <v>12</v>
      </c>
      <c r="B13" s="6"/>
      <c r="C13" s="3"/>
      <c r="D13" s="3"/>
      <c r="E13" s="3"/>
      <c r="F13" s="3"/>
      <c r="G13" s="3"/>
      <c r="H13" s="25"/>
      <c r="I13" s="33">
        <f t="shared" si="0"/>
        <v>0</v>
      </c>
      <c r="J13" s="1"/>
      <c r="K13" s="10" t="s">
        <v>6</v>
      </c>
      <c r="L13" s="20">
        <f>1008+126</f>
        <v>1134</v>
      </c>
      <c r="M13" s="80" t="s">
        <v>33</v>
      </c>
    </row>
    <row r="14" spans="1:13" ht="15.75" x14ac:dyDescent="0.25">
      <c r="A14" s="55">
        <v>13</v>
      </c>
      <c r="B14" s="6"/>
      <c r="C14" s="3"/>
      <c r="D14" s="3"/>
      <c r="E14" s="3"/>
      <c r="F14" s="3"/>
      <c r="G14" s="3"/>
      <c r="H14" s="25"/>
      <c r="I14" s="33">
        <f t="shared" si="0"/>
        <v>0</v>
      </c>
      <c r="J14" s="1"/>
      <c r="K14" s="15" t="s">
        <v>7</v>
      </c>
      <c r="L14" s="19">
        <f>SUM(B33:H33)+K2+L2</f>
        <v>628.29999999999995</v>
      </c>
      <c r="M14" s="87">
        <f>L14*100/L13/100</f>
        <v>0.55405643738977073</v>
      </c>
    </row>
    <row r="15" spans="1:13" ht="15.75" x14ac:dyDescent="0.25">
      <c r="A15" s="55">
        <v>14</v>
      </c>
      <c r="B15" s="6"/>
      <c r="C15" s="3"/>
      <c r="D15" s="3"/>
      <c r="E15" s="3"/>
      <c r="F15" s="3"/>
      <c r="G15" s="3"/>
      <c r="H15" s="25"/>
      <c r="I15" s="33">
        <f t="shared" si="0"/>
        <v>0</v>
      </c>
      <c r="J15" s="1"/>
      <c r="K15" s="13"/>
      <c r="L15" s="12"/>
      <c r="M15" s="86"/>
    </row>
    <row r="16" spans="1:13" ht="16.5" thickBot="1" x14ac:dyDescent="0.3">
      <c r="A16" s="17">
        <v>15</v>
      </c>
      <c r="B16" s="6">
        <v>7.6</v>
      </c>
      <c r="C16" s="3"/>
      <c r="D16" s="3"/>
      <c r="E16" s="3"/>
      <c r="F16" s="3"/>
      <c r="G16" s="3">
        <v>6</v>
      </c>
      <c r="H16" s="25" t="s">
        <v>35</v>
      </c>
      <c r="I16" s="33">
        <f t="shared" si="0"/>
        <v>13.6</v>
      </c>
      <c r="J16" s="1"/>
      <c r="K16" s="14" t="s">
        <v>8</v>
      </c>
      <c r="L16" s="11">
        <f>L13-L14</f>
        <v>505.70000000000005</v>
      </c>
      <c r="M16" s="88">
        <f>(L16*100/L13)/100</f>
        <v>0.44594356261022933</v>
      </c>
    </row>
    <row r="17" spans="1:12" ht="15.75" x14ac:dyDescent="0.25">
      <c r="A17" s="17">
        <v>16</v>
      </c>
      <c r="B17" s="6"/>
      <c r="C17" s="3"/>
      <c r="D17" s="3"/>
      <c r="E17" s="3"/>
      <c r="F17" s="3"/>
      <c r="G17" s="3">
        <v>72</v>
      </c>
      <c r="H17" s="25" t="s">
        <v>34</v>
      </c>
      <c r="I17" s="33">
        <f t="shared" si="0"/>
        <v>72</v>
      </c>
      <c r="J17" s="1"/>
      <c r="K17" s="1"/>
      <c r="L17" s="1"/>
    </row>
    <row r="18" spans="1:12" ht="15.75" x14ac:dyDescent="0.25">
      <c r="A18" s="17">
        <v>17</v>
      </c>
      <c r="B18" s="6"/>
      <c r="C18" s="3"/>
      <c r="D18" s="3"/>
      <c r="E18" s="3"/>
      <c r="F18" s="3"/>
      <c r="G18" s="3"/>
      <c r="H18" s="25"/>
      <c r="I18" s="33">
        <f t="shared" si="0"/>
        <v>0</v>
      </c>
      <c r="J18" s="1"/>
      <c r="K18" s="1"/>
      <c r="L18" s="1"/>
    </row>
    <row r="19" spans="1:12" ht="15.75" x14ac:dyDescent="0.25">
      <c r="A19" s="17">
        <v>18</v>
      </c>
      <c r="B19" s="6">
        <v>48.6</v>
      </c>
      <c r="C19" s="3"/>
      <c r="D19" s="3"/>
      <c r="E19" s="3">
        <f>13-13</f>
        <v>0</v>
      </c>
      <c r="F19" s="3"/>
      <c r="G19" s="3"/>
      <c r="H19" s="25"/>
      <c r="I19" s="33">
        <f t="shared" si="0"/>
        <v>48.6</v>
      </c>
      <c r="J19" s="1"/>
      <c r="K19" s="1"/>
      <c r="L19" s="1"/>
    </row>
    <row r="20" spans="1:12" ht="15.75" x14ac:dyDescent="0.25">
      <c r="A20" s="17">
        <v>19</v>
      </c>
      <c r="B20" s="6"/>
      <c r="C20" s="3">
        <v>10</v>
      </c>
      <c r="D20" s="3"/>
      <c r="E20" s="3"/>
      <c r="F20" s="3"/>
      <c r="G20" s="3"/>
      <c r="H20" s="25" t="s">
        <v>37</v>
      </c>
      <c r="I20" s="33">
        <f t="shared" si="0"/>
        <v>10</v>
      </c>
      <c r="J20" s="1"/>
      <c r="K20" s="1"/>
      <c r="L20" s="1"/>
    </row>
    <row r="21" spans="1:12" ht="15.75" x14ac:dyDescent="0.25">
      <c r="A21" s="55">
        <v>20</v>
      </c>
      <c r="B21" s="6"/>
      <c r="C21" s="3"/>
      <c r="D21" s="3"/>
      <c r="E21" s="3"/>
      <c r="F21" s="3"/>
      <c r="G21" s="3"/>
      <c r="H21" s="25"/>
      <c r="I21" s="33">
        <f t="shared" si="0"/>
        <v>0</v>
      </c>
      <c r="J21" s="1"/>
      <c r="K21" s="1"/>
      <c r="L21" s="1"/>
    </row>
    <row r="22" spans="1:12" ht="15.75" x14ac:dyDescent="0.25">
      <c r="A22" s="55">
        <v>21</v>
      </c>
      <c r="B22" s="6"/>
      <c r="C22" s="3"/>
      <c r="D22" s="3"/>
      <c r="E22" s="3">
        <f>13-13</f>
        <v>0</v>
      </c>
      <c r="F22" s="3"/>
      <c r="G22" s="3"/>
      <c r="H22" s="25"/>
      <c r="I22" s="33">
        <f t="shared" si="0"/>
        <v>0</v>
      </c>
      <c r="J22" s="1"/>
      <c r="K22" s="1"/>
      <c r="L22" s="1"/>
    </row>
    <row r="23" spans="1:12" ht="15.75" x14ac:dyDescent="0.25">
      <c r="A23" s="17">
        <v>22</v>
      </c>
      <c r="B23" s="6"/>
      <c r="C23" s="3"/>
      <c r="D23" s="3"/>
      <c r="E23" s="3"/>
      <c r="F23" s="3"/>
      <c r="G23" s="3"/>
      <c r="H23" s="25"/>
      <c r="I23" s="33">
        <f t="shared" si="0"/>
        <v>0</v>
      </c>
      <c r="J23" s="1"/>
      <c r="K23" s="1"/>
      <c r="L23" s="1"/>
    </row>
    <row r="24" spans="1:12" ht="15.75" x14ac:dyDescent="0.25">
      <c r="A24" s="17">
        <v>23</v>
      </c>
      <c r="B24" s="6"/>
      <c r="C24" s="3"/>
      <c r="D24" s="3"/>
      <c r="E24" s="3"/>
      <c r="F24" s="3"/>
      <c r="G24" s="3"/>
      <c r="H24" s="25"/>
      <c r="I24" s="33">
        <f t="shared" si="0"/>
        <v>0</v>
      </c>
      <c r="J24" s="1"/>
      <c r="K24" s="1"/>
      <c r="L24" s="1"/>
    </row>
    <row r="25" spans="1:12" ht="15.75" x14ac:dyDescent="0.25">
      <c r="A25" s="17">
        <v>24</v>
      </c>
      <c r="B25" s="6"/>
      <c r="C25" s="3"/>
      <c r="D25" s="3"/>
      <c r="E25" s="3"/>
      <c r="F25" s="3"/>
      <c r="G25" s="3">
        <v>50</v>
      </c>
      <c r="H25" s="25" t="s">
        <v>36</v>
      </c>
      <c r="I25" s="33">
        <f t="shared" si="0"/>
        <v>50</v>
      </c>
      <c r="J25" s="1"/>
      <c r="K25" s="1"/>
      <c r="L25" s="1"/>
    </row>
    <row r="26" spans="1:12" ht="15.75" x14ac:dyDescent="0.25">
      <c r="A26" s="17">
        <v>25</v>
      </c>
      <c r="B26" s="6"/>
      <c r="C26" s="3"/>
      <c r="D26" s="3">
        <v>20</v>
      </c>
      <c r="E26" s="3"/>
      <c r="F26" s="3"/>
      <c r="G26" s="3"/>
      <c r="H26" s="25"/>
      <c r="I26" s="33">
        <f t="shared" si="0"/>
        <v>20</v>
      </c>
      <c r="J26" s="1"/>
      <c r="K26" s="1"/>
      <c r="L26" s="1"/>
    </row>
    <row r="27" spans="1:12" ht="15.75" x14ac:dyDescent="0.25">
      <c r="A27" s="17">
        <v>26</v>
      </c>
      <c r="B27" s="6"/>
      <c r="C27" s="3"/>
      <c r="D27" s="3"/>
      <c r="E27" s="3">
        <v>10</v>
      </c>
      <c r="F27" s="3"/>
      <c r="G27" s="3"/>
      <c r="H27" s="25"/>
      <c r="I27" s="33">
        <f t="shared" si="0"/>
        <v>10</v>
      </c>
      <c r="J27" s="1"/>
      <c r="K27" s="1"/>
      <c r="L27" s="1"/>
    </row>
    <row r="28" spans="1:12" ht="15.75" x14ac:dyDescent="0.25">
      <c r="A28" s="55">
        <v>27</v>
      </c>
      <c r="B28" s="6"/>
      <c r="C28" s="3"/>
      <c r="D28" s="3"/>
      <c r="E28" s="3"/>
      <c r="F28" s="3"/>
      <c r="G28" s="3"/>
      <c r="H28" s="25"/>
      <c r="I28" s="33">
        <f t="shared" si="0"/>
        <v>0</v>
      </c>
      <c r="J28" s="1"/>
      <c r="K28" s="1"/>
      <c r="L28" s="1"/>
    </row>
    <row r="29" spans="1:12" ht="15.75" x14ac:dyDescent="0.25">
      <c r="A29" s="55">
        <v>28</v>
      </c>
      <c r="B29" s="6"/>
      <c r="C29" s="3"/>
      <c r="D29" s="3"/>
      <c r="E29" s="3"/>
      <c r="F29" s="3"/>
      <c r="G29" s="3">
        <v>-21</v>
      </c>
      <c r="H29" s="25" t="s">
        <v>111</v>
      </c>
      <c r="I29" s="33">
        <f t="shared" si="0"/>
        <v>-21</v>
      </c>
      <c r="J29" s="1"/>
      <c r="K29" s="1"/>
      <c r="L29" s="1"/>
    </row>
    <row r="30" spans="1:12" ht="15.75" x14ac:dyDescent="0.25">
      <c r="A30" s="63">
        <v>29</v>
      </c>
      <c r="B30" s="64"/>
      <c r="C30" s="65"/>
      <c r="D30" s="65"/>
      <c r="E30" s="65"/>
      <c r="F30" s="65"/>
      <c r="G30" s="65"/>
      <c r="H30" s="66"/>
      <c r="I30" s="33">
        <f t="shared" si="0"/>
        <v>0</v>
      </c>
      <c r="J30" s="1"/>
      <c r="K30" s="1"/>
      <c r="L30" s="1"/>
    </row>
    <row r="31" spans="1:12" ht="15.75" x14ac:dyDescent="0.25">
      <c r="A31" s="63">
        <v>30</v>
      </c>
      <c r="B31" s="64"/>
      <c r="C31" s="65"/>
      <c r="D31" s="65"/>
      <c r="E31" s="65"/>
      <c r="F31" s="65"/>
      <c r="G31" s="65"/>
      <c r="H31" s="66"/>
      <c r="I31" s="33">
        <f t="shared" si="0"/>
        <v>0</v>
      </c>
      <c r="J31" s="1"/>
      <c r="K31" s="1"/>
      <c r="L31" s="1"/>
    </row>
    <row r="32" spans="1:12" ht="16.5" thickBot="1" x14ac:dyDescent="0.3">
      <c r="A32" s="67">
        <v>31</v>
      </c>
      <c r="B32" s="68"/>
      <c r="C32" s="69"/>
      <c r="D32" s="69"/>
      <c r="E32" s="69"/>
      <c r="F32" s="69"/>
      <c r="G32" s="69"/>
      <c r="H32" s="70"/>
      <c r="I32" s="33">
        <f t="shared" si="0"/>
        <v>0</v>
      </c>
      <c r="J32" s="1"/>
      <c r="K32" s="1"/>
      <c r="L32" s="1"/>
    </row>
    <row r="33" spans="1:9" ht="16.5" thickBot="1" x14ac:dyDescent="0.3">
      <c r="A33" s="9" t="s">
        <v>3</v>
      </c>
      <c r="B33" s="27">
        <f>SUM(B2:B32)</f>
        <v>112.91999999999999</v>
      </c>
      <c r="C33" s="28">
        <f>SUM(C2:C32)</f>
        <v>10</v>
      </c>
      <c r="D33" s="27">
        <f t="shared" ref="D33:H33" si="1">SUM(D2:D32)</f>
        <v>40</v>
      </c>
      <c r="E33" s="28">
        <f t="shared" si="1"/>
        <v>10</v>
      </c>
      <c r="F33" s="28">
        <f t="shared" si="1"/>
        <v>0</v>
      </c>
      <c r="G33" s="27">
        <f t="shared" si="1"/>
        <v>162</v>
      </c>
      <c r="H33" s="28">
        <f t="shared" si="1"/>
        <v>0</v>
      </c>
      <c r="I33" s="32">
        <f>SUM(I2:I32)</f>
        <v>334.92</v>
      </c>
    </row>
  </sheetData>
  <conditionalFormatting sqref="L16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3"/>
  <sheetViews>
    <sheetView topLeftCell="A16" workbookViewId="0">
      <selection activeCell="G31" sqref="G31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3" ht="16.5" thickBot="1" x14ac:dyDescent="0.3">
      <c r="A1" s="60" t="s">
        <v>0</v>
      </c>
      <c r="B1" s="30" t="s">
        <v>25</v>
      </c>
      <c r="C1" s="29" t="s">
        <v>26</v>
      </c>
      <c r="D1" s="30" t="s">
        <v>1</v>
      </c>
      <c r="E1" s="30" t="s">
        <v>9</v>
      </c>
      <c r="F1" s="30" t="s">
        <v>2</v>
      </c>
      <c r="G1" s="30" t="s">
        <v>4</v>
      </c>
      <c r="H1" s="31" t="s">
        <v>5</v>
      </c>
      <c r="I1" s="34" t="s">
        <v>3</v>
      </c>
      <c r="J1" s="1"/>
      <c r="K1" s="10" t="s">
        <v>23</v>
      </c>
      <c r="L1" s="96" t="s">
        <v>27</v>
      </c>
    </row>
    <row r="2" spans="1:13" ht="16.5" thickBot="1" x14ac:dyDescent="0.3">
      <c r="A2" s="17">
        <v>1</v>
      </c>
      <c r="B2" s="58">
        <v>3</v>
      </c>
      <c r="C2" s="56"/>
      <c r="D2" s="5"/>
      <c r="E2" s="4"/>
      <c r="F2" s="4"/>
      <c r="G2" s="4">
        <f>20+4</f>
        <v>24</v>
      </c>
      <c r="H2" s="24" t="s">
        <v>39</v>
      </c>
      <c r="I2" s="33">
        <f>SUM(B2:H2)</f>
        <v>27</v>
      </c>
      <c r="J2" s="1"/>
      <c r="K2" s="94">
        <v>250</v>
      </c>
      <c r="L2" s="16">
        <f>15.26+11+61.64</f>
        <v>87.9</v>
      </c>
      <c r="M2">
        <f>K2+L2</f>
        <v>337.9</v>
      </c>
    </row>
    <row r="3" spans="1:13" ht="15.75" x14ac:dyDescent="0.25">
      <c r="A3" s="17">
        <v>2</v>
      </c>
      <c r="B3" s="6"/>
      <c r="C3" s="4"/>
      <c r="D3" s="3"/>
      <c r="E3" s="3"/>
      <c r="F3" s="3"/>
      <c r="G3" s="3"/>
      <c r="H3" s="25"/>
      <c r="I3" s="33">
        <f t="shared" ref="I3:I32" si="0">SUM(B3:H3)</f>
        <v>0</v>
      </c>
      <c r="J3" s="89"/>
      <c r="K3" s="90"/>
      <c r="L3" s="91"/>
      <c r="M3" s="79"/>
    </row>
    <row r="4" spans="1:13" ht="15.75" x14ac:dyDescent="0.25">
      <c r="A4" s="17">
        <v>3</v>
      </c>
      <c r="B4" s="6"/>
      <c r="C4" s="3"/>
      <c r="D4" s="3"/>
      <c r="E4" s="3"/>
      <c r="F4" s="3"/>
      <c r="G4" s="3"/>
      <c r="H4" s="25"/>
      <c r="I4" s="33">
        <f t="shared" si="0"/>
        <v>0</v>
      </c>
      <c r="J4" s="1"/>
      <c r="K4" s="2"/>
      <c r="L4" s="1"/>
    </row>
    <row r="5" spans="1:13" ht="15.75" x14ac:dyDescent="0.25">
      <c r="A5" s="17">
        <v>4</v>
      </c>
      <c r="B5" s="6"/>
      <c r="C5" s="3"/>
      <c r="D5" s="3"/>
      <c r="E5" s="3"/>
      <c r="F5" s="3"/>
      <c r="G5" s="3"/>
      <c r="H5" s="25"/>
      <c r="I5" s="33">
        <f t="shared" si="0"/>
        <v>0</v>
      </c>
      <c r="J5" s="1"/>
      <c r="K5" s="2"/>
      <c r="L5" s="1"/>
    </row>
    <row r="6" spans="1:13" ht="15.75" x14ac:dyDescent="0.25">
      <c r="A6" s="17">
        <v>5</v>
      </c>
      <c r="B6" s="6"/>
      <c r="C6" s="3"/>
      <c r="D6" s="3"/>
      <c r="E6" s="3"/>
      <c r="F6" s="3"/>
      <c r="G6" s="3"/>
      <c r="H6" s="25"/>
      <c r="I6" s="33">
        <f t="shared" si="0"/>
        <v>0</v>
      </c>
      <c r="J6" s="1"/>
      <c r="K6" s="2"/>
      <c r="L6" s="1"/>
    </row>
    <row r="7" spans="1:13" ht="15.75" x14ac:dyDescent="0.25">
      <c r="A7" s="55">
        <v>6</v>
      </c>
      <c r="B7" s="6"/>
      <c r="C7" s="3"/>
      <c r="D7" s="3"/>
      <c r="E7" s="3"/>
      <c r="F7" s="3"/>
      <c r="G7" s="3"/>
      <c r="H7" s="25"/>
      <c r="I7" s="33">
        <f t="shared" si="0"/>
        <v>0</v>
      </c>
      <c r="J7" s="1"/>
      <c r="K7" s="2"/>
      <c r="L7" s="1"/>
    </row>
    <row r="8" spans="1:13" ht="15.75" x14ac:dyDescent="0.25">
      <c r="A8" s="55">
        <v>7</v>
      </c>
      <c r="B8" s="6"/>
      <c r="C8" s="3"/>
      <c r="D8" s="3">
        <v>15</v>
      </c>
      <c r="E8" s="3">
        <v>10</v>
      </c>
      <c r="F8" s="3"/>
      <c r="G8" s="3"/>
      <c r="H8" s="25"/>
      <c r="I8" s="33">
        <f t="shared" si="0"/>
        <v>25</v>
      </c>
      <c r="J8" s="1"/>
      <c r="K8" s="2"/>
      <c r="L8" s="1"/>
    </row>
    <row r="9" spans="1:13" ht="15.75" x14ac:dyDescent="0.25">
      <c r="A9" s="17">
        <v>8</v>
      </c>
      <c r="B9" s="6"/>
      <c r="C9" s="3"/>
      <c r="D9" s="3"/>
      <c r="E9" s="3"/>
      <c r="F9" s="3"/>
      <c r="G9" s="3"/>
      <c r="H9" s="25"/>
      <c r="I9" s="33">
        <f t="shared" si="0"/>
        <v>0</v>
      </c>
      <c r="J9" s="1"/>
      <c r="K9" s="2"/>
      <c r="L9" s="1"/>
    </row>
    <row r="10" spans="1:13" ht="15.75" x14ac:dyDescent="0.25">
      <c r="A10" s="17">
        <v>9</v>
      </c>
      <c r="B10" s="6">
        <v>16.66</v>
      </c>
      <c r="C10" s="3"/>
      <c r="D10" s="3">
        <v>30</v>
      </c>
      <c r="E10" s="3"/>
      <c r="F10" s="3"/>
      <c r="G10" s="3"/>
      <c r="H10" s="25"/>
      <c r="I10" s="33">
        <f t="shared" si="0"/>
        <v>46.66</v>
      </c>
      <c r="J10" s="1"/>
      <c r="K10" s="2"/>
      <c r="L10" s="1"/>
    </row>
    <row r="11" spans="1:13" ht="15.75" x14ac:dyDescent="0.25">
      <c r="A11" s="17">
        <v>10</v>
      </c>
      <c r="B11" s="6"/>
      <c r="C11" s="3"/>
      <c r="D11" s="3"/>
      <c r="E11" s="3"/>
      <c r="F11" s="3"/>
      <c r="G11" s="3"/>
      <c r="H11" s="25"/>
      <c r="I11" s="33">
        <f t="shared" si="0"/>
        <v>0</v>
      </c>
      <c r="J11" s="1"/>
      <c r="K11" s="2"/>
      <c r="L11" s="1"/>
    </row>
    <row r="12" spans="1:13" ht="16.5" thickBot="1" x14ac:dyDescent="0.3">
      <c r="A12" s="17">
        <v>11</v>
      </c>
      <c r="B12" s="6"/>
      <c r="C12" s="3"/>
      <c r="D12" s="3"/>
      <c r="E12" s="3"/>
      <c r="F12" s="3"/>
      <c r="G12" s="3"/>
      <c r="H12" s="25"/>
      <c r="I12" s="33">
        <f t="shared" si="0"/>
        <v>0</v>
      </c>
      <c r="J12" s="1"/>
      <c r="K12" s="2"/>
      <c r="L12" s="1"/>
    </row>
    <row r="13" spans="1:13" ht="16.5" thickBot="1" x14ac:dyDescent="0.3">
      <c r="A13" s="17">
        <v>12</v>
      </c>
      <c r="B13" s="6"/>
      <c r="C13" s="3"/>
      <c r="D13" s="3"/>
      <c r="E13" s="3"/>
      <c r="F13" s="3"/>
      <c r="G13" s="3">
        <v>35</v>
      </c>
      <c r="H13" s="25" t="s">
        <v>36</v>
      </c>
      <c r="I13" s="33">
        <f t="shared" si="0"/>
        <v>35</v>
      </c>
      <c r="J13" s="1"/>
      <c r="K13" s="10" t="s">
        <v>6</v>
      </c>
      <c r="L13" s="20">
        <f>975+140</f>
        <v>1115</v>
      </c>
      <c r="M13" s="80"/>
    </row>
    <row r="14" spans="1:13" ht="15.75" x14ac:dyDescent="0.25">
      <c r="A14" s="55">
        <v>13</v>
      </c>
      <c r="B14" s="6"/>
      <c r="C14" s="3"/>
      <c r="D14" s="3"/>
      <c r="E14" s="3"/>
      <c r="F14" s="3"/>
      <c r="G14" s="3">
        <v>12</v>
      </c>
      <c r="H14" s="25" t="s">
        <v>41</v>
      </c>
      <c r="I14" s="33">
        <f t="shared" si="0"/>
        <v>12</v>
      </c>
      <c r="J14" s="1"/>
      <c r="K14" s="15" t="s">
        <v>7</v>
      </c>
      <c r="L14" s="19">
        <f>SUM(B33:H33)+K2+L2</f>
        <v>782.66</v>
      </c>
      <c r="M14" s="87">
        <f>L14*100/L13/100</f>
        <v>0.7019372197309417</v>
      </c>
    </row>
    <row r="15" spans="1:13" ht="15.75" x14ac:dyDescent="0.25">
      <c r="A15" s="55">
        <v>14</v>
      </c>
      <c r="B15" s="6"/>
      <c r="C15" s="3"/>
      <c r="D15" s="3"/>
      <c r="E15" s="3"/>
      <c r="F15" s="3"/>
      <c r="G15" s="3">
        <v>36</v>
      </c>
      <c r="H15" s="25" t="s">
        <v>40</v>
      </c>
      <c r="I15" s="33">
        <f t="shared" si="0"/>
        <v>36</v>
      </c>
      <c r="J15" s="1"/>
      <c r="K15" s="13"/>
      <c r="L15" s="12"/>
      <c r="M15" s="86"/>
    </row>
    <row r="16" spans="1:13" ht="16.5" thickBot="1" x14ac:dyDescent="0.3">
      <c r="A16" s="17">
        <v>15</v>
      </c>
      <c r="B16" s="6"/>
      <c r="C16" s="6"/>
      <c r="D16" s="3"/>
      <c r="E16" s="3"/>
      <c r="F16" s="3"/>
      <c r="G16" s="3">
        <v>26</v>
      </c>
      <c r="H16" s="25" t="s">
        <v>42</v>
      </c>
      <c r="I16" s="33">
        <f t="shared" si="0"/>
        <v>26</v>
      </c>
      <c r="J16" s="1"/>
      <c r="K16" s="14" t="s">
        <v>8</v>
      </c>
      <c r="L16" s="11">
        <f>L13-L14</f>
        <v>332.34000000000003</v>
      </c>
      <c r="M16" s="88">
        <f>(L16*100/L13)/100</f>
        <v>0.2980627802690583</v>
      </c>
    </row>
    <row r="17" spans="1:12" ht="15.75" x14ac:dyDescent="0.25">
      <c r="A17" s="17">
        <v>16</v>
      </c>
      <c r="B17" s="6">
        <v>6.2</v>
      </c>
      <c r="C17" s="3"/>
      <c r="D17" s="3"/>
      <c r="E17" s="3"/>
      <c r="F17" s="3"/>
      <c r="G17" s="3">
        <v>5.5</v>
      </c>
      <c r="H17" s="25" t="s">
        <v>43</v>
      </c>
      <c r="I17" s="33">
        <f t="shared" si="0"/>
        <v>11.7</v>
      </c>
      <c r="J17" s="1"/>
      <c r="K17" s="1"/>
      <c r="L17" s="1"/>
    </row>
    <row r="18" spans="1:12" ht="15.75" x14ac:dyDescent="0.25">
      <c r="A18" s="17">
        <v>17</v>
      </c>
      <c r="B18" s="6">
        <v>34</v>
      </c>
      <c r="C18" s="3"/>
      <c r="D18" s="3"/>
      <c r="E18" s="3"/>
      <c r="F18" s="3"/>
      <c r="G18" s="3"/>
      <c r="H18" s="25" t="s">
        <v>44</v>
      </c>
      <c r="I18" s="33">
        <f t="shared" si="0"/>
        <v>34</v>
      </c>
      <c r="J18" s="1"/>
      <c r="K18" s="1"/>
      <c r="L18" s="1"/>
    </row>
    <row r="19" spans="1:12" ht="15.75" x14ac:dyDescent="0.25">
      <c r="A19" s="17">
        <v>18</v>
      </c>
      <c r="B19" s="6"/>
      <c r="C19" s="3"/>
      <c r="D19" s="3"/>
      <c r="E19" s="3"/>
      <c r="F19" s="3"/>
      <c r="G19" s="25">
        <v>30</v>
      </c>
      <c r="H19" s="25" t="s">
        <v>46</v>
      </c>
      <c r="I19" s="33">
        <f t="shared" si="0"/>
        <v>30</v>
      </c>
      <c r="J19" s="1"/>
      <c r="K19" s="1"/>
      <c r="L19" s="1"/>
    </row>
    <row r="20" spans="1:12" ht="15.75" x14ac:dyDescent="0.25">
      <c r="A20" s="17">
        <v>19</v>
      </c>
      <c r="B20" s="6"/>
      <c r="C20" s="3"/>
      <c r="D20" s="3"/>
      <c r="E20" s="3"/>
      <c r="F20" s="3"/>
      <c r="G20" s="3"/>
      <c r="H20" s="25"/>
      <c r="I20" s="33">
        <f t="shared" si="0"/>
        <v>0</v>
      </c>
      <c r="J20" s="1"/>
      <c r="K20" s="1"/>
      <c r="L20" s="1"/>
    </row>
    <row r="21" spans="1:12" ht="15.75" x14ac:dyDescent="0.25">
      <c r="A21" s="55">
        <v>20</v>
      </c>
      <c r="B21" s="6"/>
      <c r="C21" s="3"/>
      <c r="D21" s="3"/>
      <c r="E21" s="3"/>
      <c r="F21" s="3"/>
      <c r="G21" s="3">
        <v>150</v>
      </c>
      <c r="H21" s="25" t="s">
        <v>45</v>
      </c>
      <c r="I21" s="33">
        <f>SUM(B21:H21)</f>
        <v>150</v>
      </c>
      <c r="J21" s="1"/>
      <c r="K21" s="1"/>
      <c r="L21" s="1"/>
    </row>
    <row r="22" spans="1:12" ht="15.75" x14ac:dyDescent="0.25">
      <c r="A22" s="55">
        <v>21</v>
      </c>
      <c r="B22" s="6"/>
      <c r="C22" s="3">
        <v>11</v>
      </c>
      <c r="D22" s="3"/>
      <c r="E22" s="3"/>
      <c r="F22" s="3"/>
      <c r="G22" s="3"/>
      <c r="H22" s="3"/>
      <c r="I22" s="33">
        <f t="shared" si="0"/>
        <v>11</v>
      </c>
      <c r="J22" s="1"/>
      <c r="K22" s="1"/>
      <c r="L22" s="1"/>
    </row>
    <row r="23" spans="1:12" ht="15.75" x14ac:dyDescent="0.25">
      <c r="A23" s="17">
        <v>22</v>
      </c>
      <c r="B23" s="6">
        <v>4</v>
      </c>
      <c r="C23" s="3"/>
      <c r="D23" s="3"/>
      <c r="E23" s="3"/>
      <c r="F23" s="3"/>
      <c r="G23" s="3">
        <v>5</v>
      </c>
      <c r="H23" s="25" t="s">
        <v>47</v>
      </c>
      <c r="I23" s="33">
        <f t="shared" si="0"/>
        <v>9</v>
      </c>
      <c r="J23" s="1"/>
      <c r="K23" s="1"/>
      <c r="L23" s="1"/>
    </row>
    <row r="24" spans="1:12" ht="15.75" x14ac:dyDescent="0.25">
      <c r="A24" s="17">
        <v>23</v>
      </c>
      <c r="B24" s="6"/>
      <c r="C24" s="3"/>
      <c r="D24" s="3"/>
      <c r="E24" s="3"/>
      <c r="F24" s="3"/>
      <c r="G24" s="3"/>
      <c r="H24" s="25"/>
      <c r="I24" s="33">
        <f t="shared" si="0"/>
        <v>0</v>
      </c>
      <c r="J24" s="1"/>
      <c r="K24" s="1"/>
      <c r="L24" s="1"/>
    </row>
    <row r="25" spans="1:12" ht="15.75" x14ac:dyDescent="0.25">
      <c r="A25" s="17">
        <v>24</v>
      </c>
      <c r="B25" s="3"/>
      <c r="C25" s="3"/>
      <c r="D25" s="3"/>
      <c r="E25" s="3"/>
      <c r="F25" s="3"/>
      <c r="G25" s="3"/>
      <c r="H25" s="25"/>
      <c r="I25" s="33">
        <f t="shared" si="0"/>
        <v>0</v>
      </c>
      <c r="J25" s="1"/>
      <c r="K25" s="1"/>
      <c r="L25" s="1"/>
    </row>
    <row r="26" spans="1:12" ht="15.75" x14ac:dyDescent="0.25">
      <c r="A26" s="17">
        <v>25</v>
      </c>
      <c r="B26" s="6"/>
      <c r="C26" s="3"/>
      <c r="D26" s="3"/>
      <c r="E26" s="3"/>
      <c r="F26" s="3"/>
      <c r="G26" s="3"/>
      <c r="H26" s="25"/>
      <c r="I26" s="33">
        <f t="shared" si="0"/>
        <v>0</v>
      </c>
      <c r="J26" s="1"/>
      <c r="K26" s="1"/>
      <c r="L26" s="1"/>
    </row>
    <row r="27" spans="1:12" ht="15.75" x14ac:dyDescent="0.25">
      <c r="A27" s="17">
        <v>26</v>
      </c>
      <c r="B27" s="6"/>
      <c r="C27" s="3"/>
      <c r="D27" s="3"/>
      <c r="E27" s="3"/>
      <c r="F27" s="3"/>
      <c r="G27" s="3"/>
      <c r="H27" s="25"/>
      <c r="I27" s="33">
        <f t="shared" si="0"/>
        <v>0</v>
      </c>
      <c r="J27" s="1"/>
      <c r="K27" s="1"/>
      <c r="L27" s="1"/>
    </row>
    <row r="28" spans="1:12" ht="15.75" x14ac:dyDescent="0.25">
      <c r="A28" s="55">
        <v>27</v>
      </c>
      <c r="B28" s="6">
        <v>3</v>
      </c>
      <c r="C28" s="3"/>
      <c r="D28" s="3"/>
      <c r="E28" s="3"/>
      <c r="F28" s="3"/>
      <c r="G28" s="3"/>
      <c r="H28" s="25"/>
      <c r="I28" s="33">
        <f t="shared" si="0"/>
        <v>3</v>
      </c>
      <c r="J28" s="1"/>
      <c r="K28" s="1"/>
      <c r="L28" s="1"/>
    </row>
    <row r="29" spans="1:12" ht="15.75" x14ac:dyDescent="0.25">
      <c r="A29" s="55">
        <v>28</v>
      </c>
      <c r="B29" s="6"/>
      <c r="C29" s="3">
        <v>15</v>
      </c>
      <c r="D29" s="3"/>
      <c r="E29" s="3"/>
      <c r="F29" s="3"/>
      <c r="G29" s="3"/>
      <c r="H29" s="25"/>
      <c r="I29" s="33">
        <f t="shared" si="0"/>
        <v>15</v>
      </c>
      <c r="J29" s="1"/>
      <c r="K29" s="1"/>
      <c r="L29" s="1"/>
    </row>
    <row r="30" spans="1:12" ht="15.75" x14ac:dyDescent="0.25">
      <c r="A30" s="17">
        <v>29</v>
      </c>
      <c r="B30" s="6"/>
      <c r="C30" s="3"/>
      <c r="D30" s="3"/>
      <c r="E30" s="3"/>
      <c r="F30" s="3"/>
      <c r="G30" s="3"/>
      <c r="H30" s="25"/>
      <c r="I30" s="33">
        <f t="shared" si="0"/>
        <v>0</v>
      </c>
      <c r="J30" s="1"/>
      <c r="K30" s="1"/>
      <c r="L30" s="1"/>
    </row>
    <row r="31" spans="1:12" ht="15.75" x14ac:dyDescent="0.25">
      <c r="A31" s="17">
        <v>30</v>
      </c>
      <c r="B31" s="6">
        <v>0.9</v>
      </c>
      <c r="C31" s="3"/>
      <c r="D31" s="3"/>
      <c r="E31" s="3"/>
      <c r="F31" s="3"/>
      <c r="G31" s="3"/>
      <c r="H31" s="25"/>
      <c r="I31" s="33">
        <f t="shared" si="0"/>
        <v>0.9</v>
      </c>
      <c r="J31" s="1"/>
      <c r="K31" s="1"/>
      <c r="L31" s="1"/>
    </row>
    <row r="32" spans="1:12" ht="16.5" thickBot="1" x14ac:dyDescent="0.3">
      <c r="A32" s="17">
        <v>31</v>
      </c>
      <c r="B32" s="7"/>
      <c r="C32" s="8"/>
      <c r="D32" s="8"/>
      <c r="E32" s="8">
        <v>11</v>
      </c>
      <c r="F32" s="8"/>
      <c r="G32" s="8">
        <v>-38.5</v>
      </c>
      <c r="H32" s="26" t="s">
        <v>111</v>
      </c>
      <c r="I32" s="33">
        <f t="shared" si="0"/>
        <v>-27.5</v>
      </c>
      <c r="J32" s="1"/>
      <c r="K32" s="1"/>
      <c r="L32" s="1"/>
    </row>
    <row r="33" spans="1:9" ht="16.5" thickBot="1" x14ac:dyDescent="0.3">
      <c r="A33" s="9" t="s">
        <v>3</v>
      </c>
      <c r="B33" s="27">
        <f>SUM(B2:B32)</f>
        <v>67.760000000000005</v>
      </c>
      <c r="C33" s="28">
        <f>SUM(C2:C32)</f>
        <v>26</v>
      </c>
      <c r="D33" s="27">
        <f t="shared" ref="D33:H33" si="1">SUM(D2:D32)</f>
        <v>45</v>
      </c>
      <c r="E33" s="28">
        <f t="shared" si="1"/>
        <v>21</v>
      </c>
      <c r="F33" s="28">
        <f t="shared" si="1"/>
        <v>0</v>
      </c>
      <c r="G33" s="27">
        <f t="shared" si="1"/>
        <v>285</v>
      </c>
      <c r="H33" s="28">
        <f t="shared" si="1"/>
        <v>0</v>
      </c>
      <c r="I33" s="32">
        <f>SUM(I2:I32)</f>
        <v>444.76</v>
      </c>
    </row>
  </sheetData>
  <conditionalFormatting sqref="L16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3"/>
  <sheetViews>
    <sheetView topLeftCell="A10" workbookViewId="0">
      <selection activeCell="L13" sqref="L13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3" ht="16.5" thickBot="1" x14ac:dyDescent="0.3">
      <c r="A1" s="60" t="s">
        <v>0</v>
      </c>
      <c r="B1" s="30" t="s">
        <v>25</v>
      </c>
      <c r="C1" s="29" t="s">
        <v>26</v>
      </c>
      <c r="D1" s="30" t="s">
        <v>1</v>
      </c>
      <c r="E1" s="30" t="s">
        <v>9</v>
      </c>
      <c r="F1" s="30" t="s">
        <v>2</v>
      </c>
      <c r="G1" s="30" t="s">
        <v>4</v>
      </c>
      <c r="H1" s="31" t="s">
        <v>5</v>
      </c>
      <c r="I1" s="34" t="s">
        <v>3</v>
      </c>
      <c r="J1" s="1"/>
      <c r="K1" s="10" t="s">
        <v>23</v>
      </c>
      <c r="L1" s="96" t="s">
        <v>27</v>
      </c>
    </row>
    <row r="2" spans="1:13" ht="16.5" thickBot="1" x14ac:dyDescent="0.3">
      <c r="A2" s="18">
        <v>1</v>
      </c>
      <c r="B2" s="58"/>
      <c r="C2" s="56"/>
      <c r="D2" s="5"/>
      <c r="E2" s="4"/>
      <c r="F2" s="4"/>
      <c r="G2" s="4"/>
      <c r="H2" s="24"/>
      <c r="I2" s="33">
        <f>SUM(B2:H2)</f>
        <v>0</v>
      </c>
      <c r="J2" s="1"/>
      <c r="K2" s="94">
        <v>250</v>
      </c>
      <c r="L2" s="16">
        <f>11+1.73+16.28</f>
        <v>29.01</v>
      </c>
      <c r="M2">
        <f>K2+L2</f>
        <v>279.01</v>
      </c>
    </row>
    <row r="3" spans="1:13" ht="15.75" x14ac:dyDescent="0.25">
      <c r="A3" s="17">
        <v>2</v>
      </c>
      <c r="B3" s="6"/>
      <c r="C3" s="4"/>
      <c r="D3" s="3"/>
      <c r="E3" s="3"/>
      <c r="F3" s="3"/>
      <c r="G3" s="3"/>
      <c r="H3" s="25"/>
      <c r="I3" s="33">
        <f t="shared" ref="I3:I32" si="0">SUM(B3:H3)</f>
        <v>0</v>
      </c>
      <c r="J3" s="89"/>
      <c r="K3" s="90"/>
      <c r="L3" s="91"/>
      <c r="M3" s="79"/>
    </row>
    <row r="4" spans="1:13" ht="15.75" x14ac:dyDescent="0.25">
      <c r="A4" s="55">
        <v>3</v>
      </c>
      <c r="B4" s="6"/>
      <c r="C4" s="3"/>
      <c r="D4" s="3"/>
      <c r="E4" s="3"/>
      <c r="F4" s="3"/>
      <c r="G4" s="3"/>
      <c r="H4" s="25"/>
      <c r="I4" s="33">
        <f t="shared" si="0"/>
        <v>0</v>
      </c>
      <c r="J4" s="1"/>
      <c r="K4" s="2"/>
      <c r="L4" s="1"/>
    </row>
    <row r="5" spans="1:13" ht="15.75" x14ac:dyDescent="0.25">
      <c r="A5" s="55">
        <v>4</v>
      </c>
      <c r="B5" s="6"/>
      <c r="C5" s="3"/>
      <c r="D5" s="3"/>
      <c r="E5" s="3"/>
      <c r="F5" s="3"/>
      <c r="G5" s="3"/>
      <c r="H5" s="25"/>
      <c r="I5" s="33">
        <f t="shared" si="0"/>
        <v>0</v>
      </c>
      <c r="J5" s="1"/>
      <c r="K5" s="2"/>
      <c r="L5" s="1"/>
    </row>
    <row r="6" spans="1:13" ht="15.75" x14ac:dyDescent="0.25">
      <c r="A6" s="17">
        <v>5</v>
      </c>
      <c r="B6" s="6"/>
      <c r="C6" s="3"/>
      <c r="D6" s="3"/>
      <c r="E6" s="3">
        <v>11</v>
      </c>
      <c r="F6" s="3">
        <v>4</v>
      </c>
      <c r="G6" s="3"/>
      <c r="H6" s="25"/>
      <c r="I6" s="33">
        <f t="shared" si="0"/>
        <v>15</v>
      </c>
      <c r="J6" s="1"/>
      <c r="K6" s="2"/>
      <c r="L6" s="1"/>
    </row>
    <row r="7" spans="1:13" ht="15.75" x14ac:dyDescent="0.25">
      <c r="A7" s="17">
        <v>6</v>
      </c>
      <c r="B7" s="6">
        <v>38</v>
      </c>
      <c r="C7" s="3"/>
      <c r="D7" s="3"/>
      <c r="E7" s="3"/>
      <c r="F7" s="3"/>
      <c r="G7" s="3">
        <v>3</v>
      </c>
      <c r="H7" s="25" t="s">
        <v>30</v>
      </c>
      <c r="I7" s="33">
        <f t="shared" si="0"/>
        <v>41</v>
      </c>
      <c r="J7" s="1"/>
      <c r="K7" s="2"/>
      <c r="L7" s="1"/>
    </row>
    <row r="8" spans="1:13" ht="15.75" x14ac:dyDescent="0.25">
      <c r="A8" s="17">
        <v>7</v>
      </c>
      <c r="B8" s="6"/>
      <c r="C8" s="3"/>
      <c r="D8" s="3"/>
      <c r="E8" s="3"/>
      <c r="F8" s="3"/>
      <c r="G8" s="3"/>
      <c r="H8" s="25"/>
      <c r="I8" s="33">
        <f t="shared" si="0"/>
        <v>0</v>
      </c>
      <c r="J8" s="1"/>
      <c r="K8" s="2"/>
      <c r="L8" s="1"/>
    </row>
    <row r="9" spans="1:13" ht="15.75" x14ac:dyDescent="0.25">
      <c r="A9" s="17">
        <v>8</v>
      </c>
      <c r="B9" s="6"/>
      <c r="C9" s="3"/>
      <c r="D9" s="3"/>
      <c r="E9" s="3"/>
      <c r="F9" s="3"/>
      <c r="G9" s="3">
        <v>26</v>
      </c>
      <c r="H9" s="25" t="s">
        <v>48</v>
      </c>
      <c r="I9" s="33">
        <f t="shared" si="0"/>
        <v>26</v>
      </c>
      <c r="J9" s="1"/>
      <c r="K9" s="2"/>
      <c r="L9" s="1"/>
    </row>
    <row r="10" spans="1:13" ht="15.75" x14ac:dyDescent="0.25">
      <c r="A10" s="17">
        <v>9</v>
      </c>
      <c r="B10" s="6"/>
      <c r="C10" s="3">
        <v>12.5</v>
      </c>
      <c r="D10" s="3"/>
      <c r="E10" s="3"/>
      <c r="F10" s="3"/>
      <c r="G10" s="3">
        <v>27</v>
      </c>
      <c r="H10" s="25" t="s">
        <v>49</v>
      </c>
      <c r="I10" s="33">
        <f t="shared" si="0"/>
        <v>39.5</v>
      </c>
      <c r="J10" s="1"/>
      <c r="K10" s="2"/>
      <c r="L10" s="1"/>
    </row>
    <row r="11" spans="1:13" ht="15.75" x14ac:dyDescent="0.25">
      <c r="A11" s="55">
        <v>10</v>
      </c>
      <c r="B11" s="6">
        <v>8</v>
      </c>
      <c r="C11" s="3"/>
      <c r="D11" s="3"/>
      <c r="E11" s="3"/>
      <c r="F11" s="3"/>
      <c r="G11" s="3"/>
      <c r="H11" s="25"/>
      <c r="I11" s="33">
        <f t="shared" si="0"/>
        <v>8</v>
      </c>
      <c r="J11" s="1"/>
      <c r="K11" s="2"/>
      <c r="L11" s="1"/>
    </row>
    <row r="12" spans="1:13" ht="16.5" thickBot="1" x14ac:dyDescent="0.3">
      <c r="A12" s="55">
        <v>11</v>
      </c>
      <c r="B12" s="6"/>
      <c r="C12" s="3"/>
      <c r="D12" s="3"/>
      <c r="E12" s="3"/>
      <c r="F12" s="3"/>
      <c r="G12" s="3"/>
      <c r="H12" s="25"/>
      <c r="I12" s="33">
        <f t="shared" si="0"/>
        <v>0</v>
      </c>
      <c r="J12" s="1"/>
      <c r="K12" s="2"/>
      <c r="L12" s="1"/>
    </row>
    <row r="13" spans="1:13" ht="16.5" thickBot="1" x14ac:dyDescent="0.3">
      <c r="A13" s="17">
        <v>12</v>
      </c>
      <c r="B13" s="6"/>
      <c r="C13" s="3"/>
      <c r="D13" s="3"/>
      <c r="E13" s="3"/>
      <c r="F13" s="3"/>
      <c r="G13" s="3"/>
      <c r="H13" s="25"/>
      <c r="I13" s="33">
        <f t="shared" si="0"/>
        <v>0</v>
      </c>
      <c r="J13" s="1"/>
      <c r="K13" s="10" t="s">
        <v>6</v>
      </c>
      <c r="L13" s="20">
        <v>1337</v>
      </c>
      <c r="M13" s="80"/>
    </row>
    <row r="14" spans="1:13" ht="15.75" x14ac:dyDescent="0.25">
      <c r="A14" s="17">
        <v>13</v>
      </c>
      <c r="B14" s="6"/>
      <c r="C14" s="3"/>
      <c r="D14" s="3"/>
      <c r="E14" s="3"/>
      <c r="F14" s="3"/>
      <c r="G14" s="3"/>
      <c r="H14" s="25"/>
      <c r="I14" s="33">
        <f t="shared" si="0"/>
        <v>0</v>
      </c>
      <c r="J14" s="1"/>
      <c r="K14" s="15" t="s">
        <v>7</v>
      </c>
      <c r="L14" s="19">
        <f>SUM(B33:H33)+K2+L2</f>
        <v>1100.96</v>
      </c>
      <c r="M14" s="87">
        <f>L14*100/L13/100</f>
        <v>0.82345549738219903</v>
      </c>
    </row>
    <row r="15" spans="1:13" ht="15.75" x14ac:dyDescent="0.25">
      <c r="A15" s="17">
        <v>14</v>
      </c>
      <c r="B15" s="6">
        <v>29.4</v>
      </c>
      <c r="C15" s="3"/>
      <c r="D15" s="3"/>
      <c r="E15" s="3"/>
      <c r="F15" s="3"/>
      <c r="G15" s="3"/>
      <c r="H15" s="25"/>
      <c r="I15" s="33">
        <f t="shared" si="0"/>
        <v>29.4</v>
      </c>
      <c r="J15" s="1"/>
      <c r="K15" s="13"/>
      <c r="L15" s="12"/>
      <c r="M15" s="86"/>
    </row>
    <row r="16" spans="1:13" ht="16.5" thickBot="1" x14ac:dyDescent="0.3">
      <c r="A16" s="17">
        <v>15</v>
      </c>
      <c r="B16" s="6"/>
      <c r="C16" s="3"/>
      <c r="D16" s="3"/>
      <c r="E16" s="3"/>
      <c r="F16" s="3"/>
      <c r="G16" s="3">
        <v>6</v>
      </c>
      <c r="H16" s="25" t="s">
        <v>50</v>
      </c>
      <c r="I16" s="33">
        <f t="shared" si="0"/>
        <v>6</v>
      </c>
      <c r="J16" s="1"/>
      <c r="K16" s="14" t="s">
        <v>8</v>
      </c>
      <c r="L16" s="11">
        <f>L13-L14</f>
        <v>236.03999999999996</v>
      </c>
      <c r="M16" s="88">
        <f>(L16*100/L13)/100</f>
        <v>0.17654450261780102</v>
      </c>
    </row>
    <row r="17" spans="1:12" ht="15.75" x14ac:dyDescent="0.25">
      <c r="A17" s="17">
        <v>16</v>
      </c>
      <c r="B17" s="6"/>
      <c r="C17" s="3">
        <v>10.5</v>
      </c>
      <c r="D17" s="3"/>
      <c r="E17" s="3"/>
      <c r="F17" s="3">
        <v>3</v>
      </c>
      <c r="G17" s="3">
        <v>5.5</v>
      </c>
      <c r="H17" s="25" t="s">
        <v>51</v>
      </c>
      <c r="I17" s="33">
        <f t="shared" si="0"/>
        <v>19</v>
      </c>
      <c r="J17" s="1"/>
      <c r="K17" s="1"/>
      <c r="L17" s="1"/>
    </row>
    <row r="18" spans="1:12" ht="15.75" x14ac:dyDescent="0.25">
      <c r="A18" s="55">
        <v>17</v>
      </c>
      <c r="B18" s="6"/>
      <c r="C18" s="3"/>
      <c r="D18" s="3"/>
      <c r="E18" s="3"/>
      <c r="F18" s="3"/>
      <c r="G18" s="3"/>
      <c r="H18" s="25"/>
      <c r="I18" s="33">
        <f t="shared" si="0"/>
        <v>0</v>
      </c>
      <c r="J18" s="1"/>
      <c r="K18" s="1"/>
      <c r="L18" s="1"/>
    </row>
    <row r="19" spans="1:12" ht="15.75" x14ac:dyDescent="0.25">
      <c r="A19" s="55">
        <v>18</v>
      </c>
      <c r="B19" s="6"/>
      <c r="C19" s="3"/>
      <c r="D19" s="3"/>
      <c r="E19" s="3"/>
      <c r="F19" s="3"/>
      <c r="G19" s="3"/>
      <c r="H19" s="25"/>
      <c r="I19" s="33">
        <f t="shared" si="0"/>
        <v>0</v>
      </c>
      <c r="J19" s="1"/>
      <c r="K19" s="1"/>
      <c r="L19" s="1"/>
    </row>
    <row r="20" spans="1:12" ht="15.75" x14ac:dyDescent="0.25">
      <c r="A20" s="17">
        <v>19</v>
      </c>
      <c r="B20" s="6"/>
      <c r="C20" s="3">
        <v>0.9</v>
      </c>
      <c r="D20" s="3"/>
      <c r="E20" s="3"/>
      <c r="F20" s="3"/>
      <c r="G20" s="3"/>
      <c r="H20" s="25"/>
      <c r="I20" s="33">
        <f t="shared" si="0"/>
        <v>0.9</v>
      </c>
      <c r="J20" s="1"/>
      <c r="K20" s="1"/>
      <c r="L20" s="1"/>
    </row>
    <row r="21" spans="1:12" ht="15.75" x14ac:dyDescent="0.25">
      <c r="A21" s="17">
        <v>20</v>
      </c>
      <c r="B21" s="6"/>
      <c r="C21" s="3">
        <v>0.9</v>
      </c>
      <c r="D21" s="3"/>
      <c r="E21" s="3"/>
      <c r="F21" s="3"/>
      <c r="G21" s="3"/>
      <c r="H21" s="25"/>
      <c r="I21" s="33">
        <f t="shared" si="0"/>
        <v>0.9</v>
      </c>
      <c r="J21" s="1"/>
      <c r="K21" s="1"/>
      <c r="L21" s="1"/>
    </row>
    <row r="22" spans="1:12" ht="15.75" x14ac:dyDescent="0.25">
      <c r="A22" s="17">
        <v>21</v>
      </c>
      <c r="B22" s="6"/>
      <c r="C22" s="3">
        <v>0.9</v>
      </c>
      <c r="D22" s="3"/>
      <c r="E22" s="3"/>
      <c r="F22" s="3"/>
      <c r="G22" s="3">
        <v>19</v>
      </c>
      <c r="H22" s="25" t="s">
        <v>52</v>
      </c>
      <c r="I22" s="33">
        <f t="shared" si="0"/>
        <v>19.899999999999999</v>
      </c>
      <c r="J22" s="1"/>
      <c r="K22" s="1"/>
      <c r="L22" s="1"/>
    </row>
    <row r="23" spans="1:12" ht="15.75" x14ac:dyDescent="0.25">
      <c r="A23" s="17">
        <v>22</v>
      </c>
      <c r="B23" s="6"/>
      <c r="C23" s="3">
        <v>0.9</v>
      </c>
      <c r="D23" s="3"/>
      <c r="E23" s="3"/>
      <c r="F23" s="3"/>
      <c r="G23" s="3">
        <v>2</v>
      </c>
      <c r="H23" s="25" t="s">
        <v>53</v>
      </c>
      <c r="I23" s="33">
        <f t="shared" si="0"/>
        <v>2.9</v>
      </c>
      <c r="J23" s="1"/>
      <c r="K23" s="1"/>
      <c r="L23" s="1"/>
    </row>
    <row r="24" spans="1:12" ht="15.75" x14ac:dyDescent="0.25">
      <c r="A24" s="17">
        <v>23</v>
      </c>
      <c r="B24" s="6"/>
      <c r="C24" s="3">
        <f>0.9+11.25</f>
        <v>12.15</v>
      </c>
      <c r="D24" s="3">
        <v>30</v>
      </c>
      <c r="E24" s="3">
        <v>10</v>
      </c>
      <c r="F24" s="3">
        <v>6</v>
      </c>
      <c r="G24" s="3"/>
      <c r="H24" s="25" t="s">
        <v>54</v>
      </c>
      <c r="I24" s="33">
        <f t="shared" si="0"/>
        <v>58.15</v>
      </c>
      <c r="J24" s="1"/>
      <c r="K24" s="1"/>
      <c r="L24" s="1"/>
    </row>
    <row r="25" spans="1:12" ht="15.75" x14ac:dyDescent="0.25">
      <c r="A25" s="55">
        <v>24</v>
      </c>
      <c r="B25" s="6"/>
      <c r="C25" s="3"/>
      <c r="D25" s="3"/>
      <c r="E25" s="3"/>
      <c r="F25" s="3"/>
      <c r="G25" s="3"/>
      <c r="H25" s="25"/>
      <c r="I25" s="33">
        <f t="shared" si="0"/>
        <v>0</v>
      </c>
      <c r="J25" s="1"/>
      <c r="K25" s="1"/>
      <c r="L25" s="1"/>
    </row>
    <row r="26" spans="1:12" ht="15.75" x14ac:dyDescent="0.25">
      <c r="A26" s="55">
        <v>25</v>
      </c>
      <c r="B26" s="6"/>
      <c r="C26" s="3">
        <v>30</v>
      </c>
      <c r="D26" s="3"/>
      <c r="E26" s="3"/>
      <c r="F26" s="3">
        <v>30</v>
      </c>
      <c r="G26" s="3"/>
      <c r="H26" s="25" t="s">
        <v>55</v>
      </c>
      <c r="I26" s="33">
        <f t="shared" si="0"/>
        <v>60</v>
      </c>
      <c r="J26" s="1"/>
      <c r="K26" s="1"/>
      <c r="L26" s="1"/>
    </row>
    <row r="27" spans="1:12" ht="15.75" x14ac:dyDescent="0.25">
      <c r="A27" s="17">
        <v>26</v>
      </c>
      <c r="B27" s="6"/>
      <c r="C27" s="3"/>
      <c r="D27" s="3"/>
      <c r="E27" s="3"/>
      <c r="F27" s="3"/>
      <c r="G27" s="3"/>
      <c r="H27" s="25"/>
      <c r="I27" s="33">
        <f t="shared" si="0"/>
        <v>0</v>
      </c>
      <c r="J27" s="1"/>
      <c r="K27" s="1"/>
      <c r="L27" s="1"/>
    </row>
    <row r="28" spans="1:12" ht="15.75" x14ac:dyDescent="0.25">
      <c r="A28" s="17">
        <v>27</v>
      </c>
      <c r="B28" s="6"/>
      <c r="C28" s="3"/>
      <c r="D28" s="3"/>
      <c r="E28" s="3"/>
      <c r="F28" s="3">
        <v>2</v>
      </c>
      <c r="G28" s="3"/>
      <c r="H28" s="25"/>
      <c r="I28" s="33">
        <f t="shared" si="0"/>
        <v>2</v>
      </c>
      <c r="J28" s="1"/>
      <c r="K28" s="1"/>
      <c r="L28" s="1"/>
    </row>
    <row r="29" spans="1:12" ht="15.75" x14ac:dyDescent="0.25">
      <c r="A29" s="17">
        <v>28</v>
      </c>
      <c r="B29" s="6"/>
      <c r="C29" s="3"/>
      <c r="D29" s="3"/>
      <c r="E29" s="3"/>
      <c r="F29" s="3"/>
      <c r="G29" s="3"/>
      <c r="H29" s="25"/>
      <c r="I29" s="33">
        <f t="shared" si="0"/>
        <v>0</v>
      </c>
      <c r="J29" s="1"/>
      <c r="K29" s="1"/>
      <c r="L29" s="1"/>
    </row>
    <row r="30" spans="1:12" ht="15.75" x14ac:dyDescent="0.25">
      <c r="A30" s="17">
        <v>29</v>
      </c>
      <c r="B30" s="6"/>
      <c r="C30" s="3">
        <v>33</v>
      </c>
      <c r="D30" s="3"/>
      <c r="E30" s="3"/>
      <c r="F30" s="3">
        <v>2.2999999999999998</v>
      </c>
      <c r="G30" s="3">
        <f>450+8</f>
        <v>458</v>
      </c>
      <c r="H30" s="25" t="s">
        <v>56</v>
      </c>
      <c r="I30" s="33">
        <f t="shared" si="0"/>
        <v>493.3</v>
      </c>
      <c r="J30" s="1"/>
      <c r="K30" s="1"/>
      <c r="L30" s="1"/>
    </row>
    <row r="31" spans="1:12" ht="15.75" x14ac:dyDescent="0.25">
      <c r="A31" s="17">
        <v>30</v>
      </c>
      <c r="B31" s="6"/>
      <c r="C31" s="3"/>
      <c r="D31" s="3"/>
      <c r="E31" s="3"/>
      <c r="F31" s="3"/>
      <c r="G31" s="3"/>
      <c r="H31" s="25"/>
      <c r="I31" s="33">
        <f t="shared" si="0"/>
        <v>0</v>
      </c>
      <c r="J31" s="1"/>
      <c r="K31" s="1"/>
      <c r="L31" s="1"/>
    </row>
    <row r="32" spans="1:12" ht="16.5" thickBot="1" x14ac:dyDescent="0.3">
      <c r="A32" s="67">
        <v>31</v>
      </c>
      <c r="B32" s="68"/>
      <c r="C32" s="69"/>
      <c r="D32" s="69"/>
      <c r="E32" s="69"/>
      <c r="F32" s="69"/>
      <c r="G32" s="69"/>
      <c r="H32" s="70"/>
      <c r="I32" s="73">
        <f t="shared" si="0"/>
        <v>0</v>
      </c>
      <c r="J32" s="1"/>
      <c r="K32" s="1"/>
      <c r="L32" s="1"/>
    </row>
    <row r="33" spans="1:9" ht="16.5" thickBot="1" x14ac:dyDescent="0.3">
      <c r="A33" s="9" t="s">
        <v>3</v>
      </c>
      <c r="B33" s="27">
        <f>SUM(B2:B32)</f>
        <v>75.400000000000006</v>
      </c>
      <c r="C33" s="28">
        <f>SUM(C2:C32)</f>
        <v>101.75</v>
      </c>
      <c r="D33" s="27">
        <f t="shared" ref="D33:H33" si="1">SUM(D2:D32)</f>
        <v>30</v>
      </c>
      <c r="E33" s="28">
        <f t="shared" si="1"/>
        <v>21</v>
      </c>
      <c r="F33" s="28">
        <f t="shared" si="1"/>
        <v>47.3</v>
      </c>
      <c r="G33" s="27">
        <f t="shared" si="1"/>
        <v>546.5</v>
      </c>
      <c r="H33" s="28">
        <f t="shared" si="1"/>
        <v>0</v>
      </c>
      <c r="I33" s="32">
        <f>SUM(I2:I32)</f>
        <v>821.95</v>
      </c>
    </row>
  </sheetData>
  <conditionalFormatting sqref="L16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3"/>
  <sheetViews>
    <sheetView topLeftCell="F4" workbookViewId="0">
      <selection activeCell="L13" sqref="L13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3" ht="16.5" thickBot="1" x14ac:dyDescent="0.3">
      <c r="A1" s="60" t="s">
        <v>0</v>
      </c>
      <c r="B1" s="30" t="s">
        <v>25</v>
      </c>
      <c r="C1" s="29" t="s">
        <v>26</v>
      </c>
      <c r="D1" s="30" t="s">
        <v>1</v>
      </c>
      <c r="E1" s="30" t="s">
        <v>9</v>
      </c>
      <c r="F1" s="30" t="s">
        <v>2</v>
      </c>
      <c r="G1" s="30" t="s">
        <v>4</v>
      </c>
      <c r="H1" s="31" t="s">
        <v>5</v>
      </c>
      <c r="I1" s="34" t="s">
        <v>3</v>
      </c>
      <c r="J1" s="1"/>
      <c r="K1" s="10" t="s">
        <v>23</v>
      </c>
      <c r="L1" s="96" t="s">
        <v>27</v>
      </c>
    </row>
    <row r="2" spans="1:13" ht="16.5" thickBot="1" x14ac:dyDescent="0.3">
      <c r="A2" s="55">
        <v>1</v>
      </c>
      <c r="B2" s="58"/>
      <c r="C2" s="56"/>
      <c r="D2" s="5"/>
      <c r="E2" s="4"/>
      <c r="F2" s="4"/>
      <c r="G2" s="4"/>
      <c r="H2" s="24"/>
      <c r="I2" s="33">
        <f>SUM(B2:H2)</f>
        <v>0</v>
      </c>
      <c r="J2" s="1"/>
      <c r="K2" s="94">
        <v>250</v>
      </c>
      <c r="L2" s="16">
        <f>11+45.94+15.26</f>
        <v>72.2</v>
      </c>
      <c r="M2">
        <f>K2+L2</f>
        <v>322.2</v>
      </c>
    </row>
    <row r="3" spans="1:13" ht="15.75" x14ac:dyDescent="0.25">
      <c r="A3" s="55">
        <v>2</v>
      </c>
      <c r="B3" s="6"/>
      <c r="C3" s="4"/>
      <c r="D3" s="3">
        <v>50</v>
      </c>
      <c r="E3" s="3"/>
      <c r="F3" s="3"/>
      <c r="G3" s="3"/>
      <c r="H3" s="25"/>
      <c r="I3" s="33">
        <f t="shared" ref="I3:I32" si="0">SUM(B3:H3)</f>
        <v>50</v>
      </c>
      <c r="J3" s="89"/>
      <c r="K3" s="90"/>
      <c r="L3" s="91"/>
    </row>
    <row r="4" spans="1:13" ht="15.75" x14ac:dyDescent="0.25">
      <c r="A4" s="17">
        <v>3</v>
      </c>
      <c r="B4" s="6">
        <v>24.87</v>
      </c>
      <c r="C4" s="3"/>
      <c r="D4" s="3"/>
      <c r="E4" s="3"/>
      <c r="F4" s="3"/>
      <c r="G4" s="3"/>
      <c r="H4" s="25"/>
      <c r="I4" s="33">
        <f t="shared" si="0"/>
        <v>24.87</v>
      </c>
      <c r="J4" s="1"/>
      <c r="K4" s="2"/>
      <c r="L4" s="1"/>
    </row>
    <row r="5" spans="1:13" ht="15.75" x14ac:dyDescent="0.25">
      <c r="A5" s="17">
        <v>4</v>
      </c>
      <c r="B5" s="6"/>
      <c r="C5" s="3"/>
      <c r="D5" s="3"/>
      <c r="E5" s="3"/>
      <c r="F5" s="3"/>
      <c r="G5" s="3">
        <v>103</v>
      </c>
      <c r="H5" s="25" t="s">
        <v>57</v>
      </c>
      <c r="I5" s="33">
        <f t="shared" si="0"/>
        <v>103</v>
      </c>
      <c r="J5" s="1"/>
      <c r="K5" s="2"/>
      <c r="L5" s="1"/>
    </row>
    <row r="6" spans="1:13" ht="15.75" x14ac:dyDescent="0.25">
      <c r="A6" s="17">
        <v>5</v>
      </c>
      <c r="B6" s="6"/>
      <c r="C6" s="3"/>
      <c r="D6" s="3"/>
      <c r="E6" s="3"/>
      <c r="F6" s="3"/>
      <c r="G6" s="3">
        <v>30</v>
      </c>
      <c r="H6" s="25" t="s">
        <v>58</v>
      </c>
      <c r="I6" s="33">
        <f t="shared" si="0"/>
        <v>30</v>
      </c>
      <c r="J6" s="1"/>
      <c r="K6" s="2"/>
      <c r="L6" s="1"/>
    </row>
    <row r="7" spans="1:13" ht="15.75" x14ac:dyDescent="0.25">
      <c r="A7" s="17">
        <v>6</v>
      </c>
      <c r="B7" s="6"/>
      <c r="C7" s="3"/>
      <c r="D7" s="3"/>
      <c r="E7" s="3"/>
      <c r="F7" s="3"/>
      <c r="G7" s="3"/>
      <c r="H7" s="25"/>
      <c r="I7" s="33">
        <f t="shared" si="0"/>
        <v>0</v>
      </c>
      <c r="J7" s="1"/>
      <c r="K7" s="2"/>
      <c r="L7" s="1"/>
    </row>
    <row r="8" spans="1:13" ht="15.75" x14ac:dyDescent="0.25">
      <c r="A8" s="17">
        <v>7</v>
      </c>
      <c r="B8" s="6"/>
      <c r="C8" s="3">
        <v>10.8</v>
      </c>
      <c r="D8" s="3"/>
      <c r="E8" s="3"/>
      <c r="F8" s="3"/>
      <c r="G8" s="3"/>
      <c r="H8" s="25" t="s">
        <v>64</v>
      </c>
      <c r="I8" s="33">
        <f t="shared" si="0"/>
        <v>10.8</v>
      </c>
      <c r="J8" s="1"/>
      <c r="K8" s="2"/>
      <c r="L8" s="1"/>
    </row>
    <row r="9" spans="1:13" ht="15.75" x14ac:dyDescent="0.25">
      <c r="A9" s="55">
        <v>8</v>
      </c>
      <c r="B9" s="6"/>
      <c r="C9" s="3"/>
      <c r="D9" s="3"/>
      <c r="E9" s="3"/>
      <c r="F9" s="3"/>
      <c r="G9" s="3"/>
      <c r="H9" s="25"/>
      <c r="I9" s="33">
        <f t="shared" si="0"/>
        <v>0</v>
      </c>
      <c r="J9" s="1"/>
      <c r="K9" s="2"/>
      <c r="L9" s="1"/>
    </row>
    <row r="10" spans="1:13" ht="15.75" x14ac:dyDescent="0.25">
      <c r="A10" s="55">
        <v>9</v>
      </c>
      <c r="B10" s="6">
        <f>25.51+9.73</f>
        <v>35.24</v>
      </c>
      <c r="C10" s="3"/>
      <c r="D10" s="3"/>
      <c r="E10" s="3"/>
      <c r="F10" s="3"/>
      <c r="G10" s="3"/>
      <c r="H10" s="25"/>
      <c r="I10" s="33">
        <f t="shared" si="0"/>
        <v>35.24</v>
      </c>
      <c r="J10" s="1"/>
      <c r="K10" s="2"/>
      <c r="L10" s="1"/>
    </row>
    <row r="11" spans="1:13" ht="15.75" x14ac:dyDescent="0.25">
      <c r="A11" s="17">
        <v>10</v>
      </c>
      <c r="B11" s="6"/>
      <c r="C11" s="3">
        <v>11.35</v>
      </c>
      <c r="D11" s="3"/>
      <c r="E11" s="3"/>
      <c r="F11" s="3"/>
      <c r="G11" s="3"/>
      <c r="H11" s="25" t="s">
        <v>63</v>
      </c>
      <c r="I11" s="33">
        <f t="shared" si="0"/>
        <v>11.35</v>
      </c>
      <c r="J11" s="1"/>
      <c r="K11" s="2"/>
      <c r="L11" s="1"/>
    </row>
    <row r="12" spans="1:13" ht="16.5" thickBot="1" x14ac:dyDescent="0.3">
      <c r="A12" s="17">
        <v>11</v>
      </c>
      <c r="B12" s="6"/>
      <c r="C12" s="3"/>
      <c r="D12" s="3"/>
      <c r="E12" s="3"/>
      <c r="F12" s="3"/>
      <c r="G12" s="3"/>
      <c r="H12" s="25"/>
      <c r="I12" s="33">
        <f t="shared" si="0"/>
        <v>0</v>
      </c>
      <c r="J12" s="1"/>
      <c r="K12" s="2"/>
      <c r="L12" s="1"/>
    </row>
    <row r="13" spans="1:13" ht="16.5" thickBot="1" x14ac:dyDescent="0.3">
      <c r="A13" s="17">
        <v>12</v>
      </c>
      <c r="B13" s="6"/>
      <c r="C13" s="3">
        <v>11</v>
      </c>
      <c r="D13" s="3"/>
      <c r="E13" s="3"/>
      <c r="F13" s="3"/>
      <c r="G13" s="3"/>
      <c r="H13" s="25" t="s">
        <v>65</v>
      </c>
      <c r="I13" s="33">
        <f t="shared" si="0"/>
        <v>11</v>
      </c>
      <c r="J13" s="1"/>
      <c r="K13" s="10" t="s">
        <v>6</v>
      </c>
      <c r="L13" s="20">
        <f>989+150</f>
        <v>1139</v>
      </c>
      <c r="M13" s="80" t="s">
        <v>80</v>
      </c>
    </row>
    <row r="14" spans="1:13" ht="15.75" x14ac:dyDescent="0.25">
      <c r="A14" s="17">
        <v>13</v>
      </c>
      <c r="B14" s="6"/>
      <c r="C14" s="3"/>
      <c r="D14" s="3"/>
      <c r="E14" s="3"/>
      <c r="F14" s="3"/>
      <c r="G14" s="3">
        <f>29+9</f>
        <v>38</v>
      </c>
      <c r="H14" s="25" t="s">
        <v>59</v>
      </c>
      <c r="I14" s="33">
        <f t="shared" si="0"/>
        <v>38</v>
      </c>
      <c r="J14" s="1"/>
      <c r="K14" s="15" t="s">
        <v>7</v>
      </c>
      <c r="L14" s="19">
        <f>SUM(B33:H33)+K2+L2</f>
        <v>973.53000000000009</v>
      </c>
      <c r="M14" s="87">
        <f>L14*100/L13/100</f>
        <v>0.85472344161545222</v>
      </c>
    </row>
    <row r="15" spans="1:13" ht="15.75" x14ac:dyDescent="0.25">
      <c r="A15" s="17">
        <v>14</v>
      </c>
      <c r="B15" s="6"/>
      <c r="C15" s="3">
        <v>20</v>
      </c>
      <c r="D15" s="3"/>
      <c r="E15" s="3"/>
      <c r="F15" s="3"/>
      <c r="G15" s="3"/>
      <c r="H15" s="25" t="s">
        <v>60</v>
      </c>
      <c r="I15" s="33">
        <f t="shared" si="0"/>
        <v>20</v>
      </c>
      <c r="J15" s="1"/>
      <c r="K15" s="13"/>
      <c r="L15" s="12"/>
      <c r="M15" s="86"/>
    </row>
    <row r="16" spans="1:13" ht="16.5" thickBot="1" x14ac:dyDescent="0.3">
      <c r="A16" s="55">
        <v>15</v>
      </c>
      <c r="B16" s="6"/>
      <c r="C16" s="3">
        <f>4+21</f>
        <v>25</v>
      </c>
      <c r="D16" s="3"/>
      <c r="E16" s="3">
        <v>5</v>
      </c>
      <c r="F16" s="3"/>
      <c r="G16" s="3"/>
      <c r="H16" s="25" t="s">
        <v>61</v>
      </c>
      <c r="I16" s="33">
        <f t="shared" si="0"/>
        <v>30</v>
      </c>
      <c r="J16" s="1"/>
      <c r="K16" s="14" t="s">
        <v>8</v>
      </c>
      <c r="L16" s="11">
        <f>L13-L14</f>
        <v>165.46999999999991</v>
      </c>
      <c r="M16" s="88">
        <f>(L16*100/L13)/100</f>
        <v>0.14527655838454778</v>
      </c>
    </row>
    <row r="17" spans="1:12" ht="15.75" x14ac:dyDescent="0.25">
      <c r="A17" s="55">
        <v>16</v>
      </c>
      <c r="B17" s="6"/>
      <c r="C17" s="3"/>
      <c r="D17" s="3">
        <v>15</v>
      </c>
      <c r="E17" s="3">
        <f>12.5+3.7</f>
        <v>16.2</v>
      </c>
      <c r="F17" s="3"/>
      <c r="G17" s="3"/>
      <c r="H17" s="25" t="s">
        <v>62</v>
      </c>
      <c r="I17" s="33">
        <f t="shared" si="0"/>
        <v>31.2</v>
      </c>
      <c r="J17" s="1"/>
      <c r="K17" s="1"/>
      <c r="L17" s="1"/>
    </row>
    <row r="18" spans="1:12" ht="15.75" x14ac:dyDescent="0.25">
      <c r="A18" s="17">
        <v>17</v>
      </c>
      <c r="B18" s="6"/>
      <c r="C18" s="3">
        <v>12.5</v>
      </c>
      <c r="D18" s="3"/>
      <c r="E18" s="3"/>
      <c r="F18" s="3">
        <v>3</v>
      </c>
      <c r="G18" s="3"/>
      <c r="H18" s="25"/>
      <c r="I18" s="33">
        <f t="shared" si="0"/>
        <v>15.5</v>
      </c>
      <c r="J18" s="1"/>
      <c r="K18" s="1"/>
      <c r="L18" s="1"/>
    </row>
    <row r="19" spans="1:12" ht="15.75" x14ac:dyDescent="0.25">
      <c r="A19" s="17">
        <v>18</v>
      </c>
      <c r="B19" s="6"/>
      <c r="C19" s="3"/>
      <c r="D19" s="3"/>
      <c r="E19" s="3"/>
      <c r="F19" s="3"/>
      <c r="G19" s="3">
        <v>66</v>
      </c>
      <c r="H19" s="25" t="s">
        <v>66</v>
      </c>
      <c r="I19" s="33">
        <f t="shared" si="0"/>
        <v>66</v>
      </c>
      <c r="J19" s="1"/>
      <c r="K19" s="1"/>
      <c r="L19" s="1"/>
    </row>
    <row r="20" spans="1:12" ht="15.75" x14ac:dyDescent="0.25">
      <c r="A20" s="17">
        <v>19</v>
      </c>
      <c r="B20" s="6"/>
      <c r="C20" s="3"/>
      <c r="D20" s="3"/>
      <c r="E20" s="3"/>
      <c r="F20" s="3"/>
      <c r="G20" s="3"/>
      <c r="H20" s="25"/>
      <c r="I20" s="33">
        <f t="shared" si="0"/>
        <v>0</v>
      </c>
      <c r="J20" s="1"/>
      <c r="K20" s="1"/>
      <c r="L20" s="1"/>
    </row>
    <row r="21" spans="1:12" ht="15.75" x14ac:dyDescent="0.25">
      <c r="A21" s="17">
        <v>20</v>
      </c>
      <c r="B21" s="6"/>
      <c r="C21" s="3"/>
      <c r="D21" s="3"/>
      <c r="E21" s="3"/>
      <c r="F21" s="3"/>
      <c r="G21" s="3"/>
      <c r="H21" s="25"/>
      <c r="I21" s="33">
        <f t="shared" si="0"/>
        <v>0</v>
      </c>
      <c r="J21" s="1"/>
      <c r="K21" s="1"/>
      <c r="L21" s="1"/>
    </row>
    <row r="22" spans="1:12" ht="15.75" x14ac:dyDescent="0.25">
      <c r="A22" s="17">
        <v>21</v>
      </c>
      <c r="B22" s="6"/>
      <c r="C22" s="3"/>
      <c r="D22" s="3"/>
      <c r="E22" s="3">
        <v>10</v>
      </c>
      <c r="F22" s="3">
        <v>6</v>
      </c>
      <c r="G22" s="3"/>
      <c r="H22" s="25"/>
      <c r="I22" s="33">
        <f t="shared" si="0"/>
        <v>16</v>
      </c>
      <c r="J22" s="1"/>
      <c r="K22" s="1"/>
      <c r="L22" s="1"/>
    </row>
    <row r="23" spans="1:12" ht="15.75" x14ac:dyDescent="0.25">
      <c r="A23" s="55">
        <v>22</v>
      </c>
      <c r="B23" s="6"/>
      <c r="C23" s="3"/>
      <c r="D23" s="3"/>
      <c r="E23" s="3"/>
      <c r="F23" s="3"/>
      <c r="G23" s="3"/>
      <c r="H23" s="25"/>
      <c r="I23" s="33">
        <f t="shared" si="0"/>
        <v>0</v>
      </c>
      <c r="J23" s="1"/>
      <c r="K23" s="1"/>
      <c r="L23" s="1"/>
    </row>
    <row r="24" spans="1:12" ht="15.75" x14ac:dyDescent="0.25">
      <c r="A24" s="55">
        <v>23</v>
      </c>
      <c r="B24" s="6"/>
      <c r="C24" s="3">
        <v>8</v>
      </c>
      <c r="D24" s="3"/>
      <c r="E24" s="3"/>
      <c r="F24" s="3">
        <v>10</v>
      </c>
      <c r="G24" s="3"/>
      <c r="H24" s="25" t="s">
        <v>70</v>
      </c>
      <c r="I24" s="33">
        <f t="shared" si="0"/>
        <v>18</v>
      </c>
      <c r="J24" s="1"/>
      <c r="K24" s="1"/>
      <c r="L24" s="1"/>
    </row>
    <row r="25" spans="1:12" ht="15.75" x14ac:dyDescent="0.25">
      <c r="A25" s="17">
        <v>24</v>
      </c>
      <c r="B25" s="6"/>
      <c r="C25" s="3"/>
      <c r="D25" s="3"/>
      <c r="E25" s="3"/>
      <c r="F25" s="3"/>
      <c r="G25" s="3">
        <v>2.4</v>
      </c>
      <c r="H25" s="25" t="s">
        <v>67</v>
      </c>
      <c r="I25" s="33">
        <f t="shared" si="0"/>
        <v>2.4</v>
      </c>
      <c r="J25" s="1"/>
      <c r="K25" s="1"/>
      <c r="L25" s="1"/>
    </row>
    <row r="26" spans="1:12" ht="15.75" x14ac:dyDescent="0.25">
      <c r="A26" s="17">
        <v>25</v>
      </c>
      <c r="B26" s="6"/>
      <c r="C26" s="3"/>
      <c r="D26" s="3"/>
      <c r="E26" s="3"/>
      <c r="F26" s="3">
        <v>2</v>
      </c>
      <c r="G26" s="3"/>
      <c r="H26" s="25"/>
      <c r="I26" s="33">
        <f t="shared" si="0"/>
        <v>2</v>
      </c>
      <c r="J26" s="1"/>
      <c r="K26" s="1"/>
      <c r="L26" s="1"/>
    </row>
    <row r="27" spans="1:12" ht="15.75" x14ac:dyDescent="0.25">
      <c r="A27" s="17">
        <v>26</v>
      </c>
      <c r="B27" s="6"/>
      <c r="C27" s="3"/>
      <c r="D27" s="3"/>
      <c r="E27" s="3"/>
      <c r="F27" s="3">
        <v>2</v>
      </c>
      <c r="G27" s="3"/>
      <c r="H27" s="25"/>
      <c r="I27" s="33">
        <f t="shared" si="0"/>
        <v>2</v>
      </c>
      <c r="J27" s="1"/>
      <c r="K27" s="1"/>
      <c r="L27" s="1"/>
    </row>
    <row r="28" spans="1:12" ht="15.75" x14ac:dyDescent="0.25">
      <c r="A28" s="17">
        <v>27</v>
      </c>
      <c r="B28" s="6"/>
      <c r="C28" s="3"/>
      <c r="D28" s="3"/>
      <c r="E28" s="3"/>
      <c r="F28" s="3"/>
      <c r="G28" s="3">
        <v>3</v>
      </c>
      <c r="H28" s="25" t="s">
        <v>69</v>
      </c>
      <c r="I28" s="33">
        <f t="shared" si="0"/>
        <v>3</v>
      </c>
      <c r="J28" s="1"/>
      <c r="K28" s="1"/>
      <c r="L28" s="1"/>
    </row>
    <row r="29" spans="1:12" ht="15.75" x14ac:dyDescent="0.25">
      <c r="A29" s="17">
        <v>28</v>
      </c>
      <c r="B29" s="6"/>
      <c r="C29" s="3">
        <v>4</v>
      </c>
      <c r="D29" s="3">
        <v>40</v>
      </c>
      <c r="E29" s="3"/>
      <c r="F29" s="3">
        <v>11</v>
      </c>
      <c r="G29" s="3">
        <v>6</v>
      </c>
      <c r="H29" s="25" t="s">
        <v>71</v>
      </c>
      <c r="I29" s="33">
        <f t="shared" si="0"/>
        <v>61</v>
      </c>
      <c r="J29" s="1"/>
      <c r="K29" s="1"/>
      <c r="L29" s="1"/>
    </row>
    <row r="30" spans="1:12" ht="15.75" x14ac:dyDescent="0.25">
      <c r="A30" s="55">
        <v>29</v>
      </c>
      <c r="B30" s="6"/>
      <c r="C30" s="3">
        <f>15+10</f>
        <v>25</v>
      </c>
      <c r="D30" s="3"/>
      <c r="E30" s="3"/>
      <c r="F30" s="3">
        <v>25</v>
      </c>
      <c r="G30" s="3"/>
      <c r="H30" s="25" t="s">
        <v>68</v>
      </c>
      <c r="I30" s="33">
        <f t="shared" si="0"/>
        <v>50</v>
      </c>
      <c r="J30" s="1"/>
      <c r="K30" s="1"/>
      <c r="L30" s="1"/>
    </row>
    <row r="31" spans="1:12" ht="15.75" x14ac:dyDescent="0.25">
      <c r="A31" s="55">
        <v>30</v>
      </c>
      <c r="B31" s="6"/>
      <c r="C31" s="3"/>
      <c r="D31" s="3"/>
      <c r="E31" s="3">
        <v>10</v>
      </c>
      <c r="F31" s="3">
        <v>1</v>
      </c>
      <c r="G31" s="3"/>
      <c r="H31" s="25"/>
      <c r="I31" s="33">
        <f t="shared" si="0"/>
        <v>11</v>
      </c>
      <c r="J31" s="1"/>
      <c r="K31" s="1"/>
      <c r="L31" s="1"/>
    </row>
    <row r="32" spans="1:12" ht="16.5" thickBot="1" x14ac:dyDescent="0.3">
      <c r="A32" s="17">
        <v>31</v>
      </c>
      <c r="B32" s="7">
        <v>8.27</v>
      </c>
      <c r="C32" s="8">
        <v>0.7</v>
      </c>
      <c r="D32" s="8"/>
      <c r="E32" s="8"/>
      <c r="F32" s="8"/>
      <c r="G32" s="8"/>
      <c r="H32" s="26"/>
      <c r="I32" s="33">
        <f t="shared" si="0"/>
        <v>8.9699999999999989</v>
      </c>
      <c r="J32" s="1"/>
      <c r="K32" s="1"/>
      <c r="L32" s="1"/>
    </row>
    <row r="33" spans="1:9" ht="16.5" thickBot="1" x14ac:dyDescent="0.3">
      <c r="A33" s="9" t="s">
        <v>3</v>
      </c>
      <c r="B33" s="27">
        <f>SUM(B2:B32)</f>
        <v>68.38</v>
      </c>
      <c r="C33" s="28">
        <f>SUM(C2:C32)</f>
        <v>128.35</v>
      </c>
      <c r="D33" s="27">
        <f t="shared" ref="D33:H33" si="1">SUM(D2:D32)</f>
        <v>105</v>
      </c>
      <c r="E33" s="28">
        <f t="shared" si="1"/>
        <v>41.2</v>
      </c>
      <c r="F33" s="28">
        <f t="shared" si="1"/>
        <v>60</v>
      </c>
      <c r="G33" s="27">
        <f t="shared" si="1"/>
        <v>248.4</v>
      </c>
      <c r="H33" s="28">
        <f t="shared" si="1"/>
        <v>0</v>
      </c>
      <c r="I33" s="32">
        <f>SUM(I2:I32)</f>
        <v>651.33000000000004</v>
      </c>
    </row>
  </sheetData>
  <conditionalFormatting sqref="L16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3"/>
  <sheetViews>
    <sheetView workbookViewId="0">
      <selection activeCell="L2" sqref="L2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3" ht="16.5" thickBot="1" x14ac:dyDescent="0.3">
      <c r="A1" s="60" t="s">
        <v>0</v>
      </c>
      <c r="B1" s="30" t="s">
        <v>25</v>
      </c>
      <c r="C1" s="29" t="s">
        <v>26</v>
      </c>
      <c r="D1" s="30" t="s">
        <v>1</v>
      </c>
      <c r="E1" s="30" t="s">
        <v>9</v>
      </c>
      <c r="F1" s="30" t="s">
        <v>2</v>
      </c>
      <c r="G1" s="30" t="s">
        <v>4</v>
      </c>
      <c r="H1" s="31" t="s">
        <v>5</v>
      </c>
      <c r="I1" s="34" t="s">
        <v>3</v>
      </c>
      <c r="J1" s="1"/>
      <c r="K1" s="10" t="s">
        <v>23</v>
      </c>
      <c r="L1" s="96" t="s">
        <v>27</v>
      </c>
    </row>
    <row r="2" spans="1:13" ht="16.5" thickBot="1" x14ac:dyDescent="0.3">
      <c r="A2" s="18">
        <v>1</v>
      </c>
      <c r="B2" s="58"/>
      <c r="C2" s="56"/>
      <c r="D2" s="5"/>
      <c r="E2" s="4"/>
      <c r="F2" s="4"/>
      <c r="G2" s="4">
        <v>4</v>
      </c>
      <c r="H2" s="24" t="s">
        <v>30</v>
      </c>
      <c r="I2" s="33">
        <f>SUM(B2:H2)</f>
        <v>4</v>
      </c>
      <c r="J2" s="1"/>
      <c r="K2" s="94">
        <v>217</v>
      </c>
      <c r="L2" s="16">
        <f>27.9+11+15.26</f>
        <v>54.16</v>
      </c>
      <c r="M2">
        <f>K2+L2</f>
        <v>271.15999999999997</v>
      </c>
    </row>
    <row r="3" spans="1:13" ht="15.75" x14ac:dyDescent="0.25">
      <c r="A3" s="17">
        <v>2</v>
      </c>
      <c r="B3" s="6"/>
      <c r="C3" s="4"/>
      <c r="D3" s="3"/>
      <c r="E3" s="3"/>
      <c r="F3" s="3"/>
      <c r="G3" s="3"/>
      <c r="H3" s="25"/>
      <c r="I3" s="33">
        <f t="shared" ref="I3:I32" si="0">SUM(B3:H3)</f>
        <v>0</v>
      </c>
      <c r="J3" s="89"/>
      <c r="K3" s="90"/>
      <c r="L3" s="97"/>
      <c r="M3" s="79"/>
    </row>
    <row r="4" spans="1:13" ht="15.75" x14ac:dyDescent="0.25">
      <c r="A4" s="17">
        <v>3</v>
      </c>
      <c r="B4" s="6"/>
      <c r="C4" s="3">
        <v>2.5</v>
      </c>
      <c r="D4" s="3"/>
      <c r="E4" s="3"/>
      <c r="F4" s="3">
        <v>4</v>
      </c>
      <c r="G4" s="3"/>
      <c r="H4" s="25"/>
      <c r="I4" s="33">
        <f t="shared" si="0"/>
        <v>6.5</v>
      </c>
      <c r="J4" s="1"/>
      <c r="K4" s="2"/>
      <c r="L4" s="1"/>
    </row>
    <row r="5" spans="1:13" ht="15.75" x14ac:dyDescent="0.25">
      <c r="A5" s="17">
        <v>4</v>
      </c>
      <c r="B5" s="6">
        <v>18</v>
      </c>
      <c r="C5" s="3">
        <v>8.5</v>
      </c>
      <c r="D5" s="3"/>
      <c r="E5" s="3"/>
      <c r="F5" s="3"/>
      <c r="G5" s="3"/>
      <c r="H5" s="25"/>
      <c r="I5" s="33">
        <f t="shared" si="0"/>
        <v>26.5</v>
      </c>
      <c r="J5" s="1"/>
      <c r="K5" s="2"/>
      <c r="L5" s="1"/>
    </row>
    <row r="6" spans="1:13" ht="15.75" x14ac:dyDescent="0.25">
      <c r="A6" s="55">
        <v>5</v>
      </c>
      <c r="B6" s="6"/>
      <c r="C6" s="3">
        <v>6</v>
      </c>
      <c r="D6" s="3"/>
      <c r="E6" s="3"/>
      <c r="F6" s="3">
        <v>10</v>
      </c>
      <c r="G6" s="3"/>
      <c r="H6" s="25"/>
      <c r="I6" s="33">
        <f t="shared" si="0"/>
        <v>16</v>
      </c>
      <c r="J6" s="1"/>
      <c r="K6" s="2"/>
      <c r="L6" s="1"/>
    </row>
    <row r="7" spans="1:13" ht="15.75" x14ac:dyDescent="0.25">
      <c r="A7" s="55">
        <v>6</v>
      </c>
      <c r="B7" s="6"/>
      <c r="C7" s="3"/>
      <c r="D7" s="3">
        <v>40</v>
      </c>
      <c r="E7" s="3"/>
      <c r="F7" s="3"/>
      <c r="G7" s="3"/>
      <c r="H7" s="25"/>
      <c r="I7" s="33">
        <f t="shared" si="0"/>
        <v>40</v>
      </c>
      <c r="J7" s="1"/>
      <c r="K7" s="2"/>
      <c r="L7" s="1"/>
    </row>
    <row r="8" spans="1:13" ht="15.75" x14ac:dyDescent="0.25">
      <c r="A8" s="17">
        <v>7</v>
      </c>
      <c r="B8" s="6"/>
      <c r="C8" s="3"/>
      <c r="D8" s="3"/>
      <c r="E8" s="3"/>
      <c r="F8" s="3"/>
      <c r="G8" s="3"/>
      <c r="H8" s="25"/>
      <c r="I8" s="33">
        <f t="shared" si="0"/>
        <v>0</v>
      </c>
      <c r="J8" s="1"/>
      <c r="K8" s="2"/>
      <c r="L8" s="1"/>
    </row>
    <row r="9" spans="1:13" ht="15.75" x14ac:dyDescent="0.25">
      <c r="A9" s="17">
        <v>8</v>
      </c>
      <c r="B9" s="6"/>
      <c r="C9" s="3">
        <v>1.2</v>
      </c>
      <c r="D9" s="3"/>
      <c r="E9" s="3"/>
      <c r="F9" s="3"/>
      <c r="G9" s="3"/>
      <c r="H9" s="25"/>
      <c r="I9" s="33">
        <f t="shared" si="0"/>
        <v>1.2</v>
      </c>
      <c r="J9" s="1"/>
      <c r="K9" s="2"/>
      <c r="L9" s="1"/>
    </row>
    <row r="10" spans="1:13" ht="15.75" x14ac:dyDescent="0.25">
      <c r="A10" s="17">
        <v>9</v>
      </c>
      <c r="B10" s="6"/>
      <c r="C10" s="3"/>
      <c r="D10" s="3"/>
      <c r="E10" s="3">
        <v>13.5</v>
      </c>
      <c r="F10" s="3"/>
      <c r="G10" s="3"/>
      <c r="H10" s="25"/>
      <c r="I10" s="33">
        <f t="shared" si="0"/>
        <v>13.5</v>
      </c>
      <c r="J10" s="1"/>
      <c r="K10" s="2"/>
      <c r="L10" s="1"/>
    </row>
    <row r="11" spans="1:13" ht="15.75" x14ac:dyDescent="0.25">
      <c r="A11" s="17">
        <v>10</v>
      </c>
      <c r="B11" s="6"/>
      <c r="C11" s="3"/>
      <c r="D11" s="3">
        <v>20</v>
      </c>
      <c r="E11" s="3"/>
      <c r="F11" s="3">
        <v>5</v>
      </c>
      <c r="G11" s="3"/>
      <c r="H11" s="25"/>
      <c r="I11" s="33">
        <f t="shared" si="0"/>
        <v>25</v>
      </c>
      <c r="J11" s="1"/>
      <c r="K11" s="2"/>
      <c r="L11" s="1"/>
    </row>
    <row r="12" spans="1:13" ht="16.5" thickBot="1" x14ac:dyDescent="0.3">
      <c r="A12" s="17">
        <v>11</v>
      </c>
      <c r="B12" s="6"/>
      <c r="C12" s="3">
        <v>22</v>
      </c>
      <c r="D12" s="3"/>
      <c r="E12" s="3"/>
      <c r="F12" s="3">
        <f>10+10+5</f>
        <v>25</v>
      </c>
      <c r="G12" s="3"/>
      <c r="H12" s="25"/>
      <c r="I12" s="33">
        <f t="shared" si="0"/>
        <v>47</v>
      </c>
      <c r="J12" s="1"/>
      <c r="K12" s="2"/>
      <c r="L12" s="1"/>
    </row>
    <row r="13" spans="1:13" ht="16.5" thickBot="1" x14ac:dyDescent="0.3">
      <c r="A13" s="55">
        <v>12</v>
      </c>
      <c r="B13" s="6"/>
      <c r="C13" s="3">
        <v>35</v>
      </c>
      <c r="D13" s="3"/>
      <c r="E13" s="3"/>
      <c r="F13" s="3">
        <v>20</v>
      </c>
      <c r="G13" s="3"/>
      <c r="H13" s="25"/>
      <c r="I13" s="33">
        <f t="shared" si="0"/>
        <v>55</v>
      </c>
      <c r="J13" s="1"/>
      <c r="K13" s="10" t="s">
        <v>6</v>
      </c>
      <c r="L13" s="20">
        <f>917+40</f>
        <v>957</v>
      </c>
      <c r="M13" s="80" t="s">
        <v>79</v>
      </c>
    </row>
    <row r="14" spans="1:13" ht="15.75" x14ac:dyDescent="0.25">
      <c r="A14" s="55">
        <v>13</v>
      </c>
      <c r="B14" s="6"/>
      <c r="C14" s="3"/>
      <c r="D14" s="3">
        <v>10</v>
      </c>
      <c r="E14" s="3">
        <v>13.5</v>
      </c>
      <c r="F14" s="3">
        <v>3</v>
      </c>
      <c r="G14" s="3"/>
      <c r="H14" s="25"/>
      <c r="I14" s="33">
        <f t="shared" si="0"/>
        <v>26.5</v>
      </c>
      <c r="J14" s="1"/>
      <c r="K14" s="15" t="s">
        <v>7</v>
      </c>
      <c r="L14" s="19">
        <f>SUM(B33:H33)+K2+L2</f>
        <v>852.86</v>
      </c>
      <c r="M14" s="87">
        <f>L14*100/L13/100</f>
        <v>0.89118077324973877</v>
      </c>
    </row>
    <row r="15" spans="1:13" ht="15.75" x14ac:dyDescent="0.25">
      <c r="A15" s="17">
        <v>14</v>
      </c>
      <c r="B15" s="6">
        <v>4</v>
      </c>
      <c r="C15" s="3"/>
      <c r="D15" s="3"/>
      <c r="E15" s="3"/>
      <c r="F15" s="3"/>
      <c r="G15" s="3"/>
      <c r="H15" s="25"/>
      <c r="I15" s="33">
        <f t="shared" si="0"/>
        <v>4</v>
      </c>
      <c r="J15" s="1"/>
      <c r="K15" s="13"/>
      <c r="L15" s="12"/>
      <c r="M15" s="86"/>
    </row>
    <row r="16" spans="1:13" ht="16.5" thickBot="1" x14ac:dyDescent="0.3">
      <c r="A16" s="17">
        <v>15</v>
      </c>
      <c r="B16" s="6"/>
      <c r="C16" s="3">
        <v>9</v>
      </c>
      <c r="D16" s="3"/>
      <c r="E16" s="3"/>
      <c r="F16" s="3">
        <v>7</v>
      </c>
      <c r="G16" s="3"/>
      <c r="H16" s="25"/>
      <c r="I16" s="33">
        <f t="shared" si="0"/>
        <v>16</v>
      </c>
      <c r="J16" s="1"/>
      <c r="K16" s="14" t="s">
        <v>8</v>
      </c>
      <c r="L16" s="11">
        <f>L13-L14</f>
        <v>104.13999999999999</v>
      </c>
      <c r="M16" s="88">
        <f>(L16*100/L13)/100</f>
        <v>0.10881922675026122</v>
      </c>
    </row>
    <row r="17" spans="1:12" ht="15.75" x14ac:dyDescent="0.25">
      <c r="A17" s="17">
        <v>16</v>
      </c>
      <c r="B17" s="6"/>
      <c r="C17" s="3"/>
      <c r="D17" s="3"/>
      <c r="E17" s="3"/>
      <c r="F17" s="3"/>
      <c r="G17" s="3">
        <f>22.5+8.5</f>
        <v>31</v>
      </c>
      <c r="H17" s="25" t="s">
        <v>72</v>
      </c>
      <c r="I17" s="33">
        <f t="shared" si="0"/>
        <v>31</v>
      </c>
      <c r="J17" s="1"/>
      <c r="K17" s="1"/>
      <c r="L17" s="1"/>
    </row>
    <row r="18" spans="1:12" ht="15.75" x14ac:dyDescent="0.25">
      <c r="A18" s="17">
        <v>17</v>
      </c>
      <c r="B18" s="6"/>
      <c r="C18" s="3"/>
      <c r="D18" s="3"/>
      <c r="E18" s="3"/>
      <c r="F18" s="3"/>
      <c r="G18" s="3"/>
      <c r="H18" s="25"/>
      <c r="I18" s="33">
        <f t="shared" si="0"/>
        <v>0</v>
      </c>
      <c r="J18" s="1"/>
      <c r="K18" s="1"/>
      <c r="L18" s="1"/>
    </row>
    <row r="19" spans="1:12" ht="15.75" x14ac:dyDescent="0.25">
      <c r="A19" s="17">
        <v>18</v>
      </c>
      <c r="B19" s="6"/>
      <c r="C19" s="3"/>
      <c r="D19" s="3"/>
      <c r="E19" s="3">
        <v>10</v>
      </c>
      <c r="F19" s="3">
        <v>5</v>
      </c>
      <c r="G19" s="3"/>
      <c r="H19" s="25"/>
      <c r="I19" s="33">
        <f t="shared" si="0"/>
        <v>15</v>
      </c>
      <c r="J19" s="1"/>
      <c r="K19" s="1"/>
      <c r="L19" s="1"/>
    </row>
    <row r="20" spans="1:12" ht="15.75" x14ac:dyDescent="0.25">
      <c r="A20" s="55">
        <v>19</v>
      </c>
      <c r="B20" s="6"/>
      <c r="C20" s="3">
        <v>9</v>
      </c>
      <c r="D20" s="3"/>
      <c r="E20" s="3"/>
      <c r="F20" s="3">
        <v>6</v>
      </c>
      <c r="G20" s="3"/>
      <c r="H20" s="25" t="s">
        <v>76</v>
      </c>
      <c r="I20" s="33">
        <f t="shared" si="0"/>
        <v>15</v>
      </c>
      <c r="J20" s="1"/>
      <c r="K20" s="1"/>
      <c r="L20" s="1"/>
    </row>
    <row r="21" spans="1:12" ht="15.75" x14ac:dyDescent="0.25">
      <c r="A21" s="55">
        <v>20</v>
      </c>
      <c r="B21" s="6"/>
      <c r="C21" s="3"/>
      <c r="D21" s="3"/>
      <c r="E21" s="3"/>
      <c r="F21" s="3"/>
      <c r="G21" s="3"/>
      <c r="H21" s="25"/>
      <c r="I21" s="33">
        <f t="shared" si="0"/>
        <v>0</v>
      </c>
      <c r="J21" s="1"/>
      <c r="K21" s="1"/>
      <c r="L21" s="1"/>
    </row>
    <row r="22" spans="1:12" ht="15.75" x14ac:dyDescent="0.25">
      <c r="A22" s="17">
        <v>21</v>
      </c>
      <c r="B22" s="6"/>
      <c r="C22" s="3"/>
      <c r="D22" s="3"/>
      <c r="E22" s="3"/>
      <c r="F22" s="3"/>
      <c r="G22" s="3"/>
      <c r="H22" s="25"/>
      <c r="I22" s="33">
        <f t="shared" si="0"/>
        <v>0</v>
      </c>
      <c r="J22" s="1"/>
      <c r="K22" s="1"/>
      <c r="L22" s="1"/>
    </row>
    <row r="23" spans="1:12" ht="15.75" x14ac:dyDescent="0.25">
      <c r="A23" s="17">
        <v>22</v>
      </c>
      <c r="B23" s="6"/>
      <c r="C23" s="3">
        <v>3</v>
      </c>
      <c r="D23" s="3">
        <v>20</v>
      </c>
      <c r="E23" s="3"/>
      <c r="F23" s="3"/>
      <c r="G23" s="3">
        <f>20+32.5</f>
        <v>52.5</v>
      </c>
      <c r="H23" s="25" t="s">
        <v>75</v>
      </c>
      <c r="I23" s="33">
        <f t="shared" si="0"/>
        <v>75.5</v>
      </c>
      <c r="J23" s="1"/>
      <c r="K23" s="1"/>
      <c r="L23" s="1"/>
    </row>
    <row r="24" spans="1:12" ht="15.75" x14ac:dyDescent="0.25">
      <c r="A24" s="17">
        <v>23</v>
      </c>
      <c r="B24" s="6"/>
      <c r="C24" s="3">
        <v>2.5</v>
      </c>
      <c r="D24" s="3"/>
      <c r="E24" s="3"/>
      <c r="F24" s="3">
        <v>20</v>
      </c>
      <c r="G24" s="3">
        <v>8</v>
      </c>
      <c r="H24" s="25" t="s">
        <v>73</v>
      </c>
      <c r="I24" s="33">
        <f t="shared" si="0"/>
        <v>30.5</v>
      </c>
      <c r="J24" s="1"/>
      <c r="K24" s="1"/>
      <c r="L24" s="1"/>
    </row>
    <row r="25" spans="1:12" ht="15.75" x14ac:dyDescent="0.25">
      <c r="A25" s="17">
        <v>24</v>
      </c>
      <c r="B25" s="6"/>
      <c r="C25" s="3">
        <v>5</v>
      </c>
      <c r="D25" s="3"/>
      <c r="E25" s="3"/>
      <c r="F25" s="3">
        <v>2</v>
      </c>
      <c r="G25" s="3"/>
      <c r="H25" s="25" t="s">
        <v>74</v>
      </c>
      <c r="I25" s="33">
        <f t="shared" si="0"/>
        <v>7</v>
      </c>
      <c r="J25" s="1"/>
      <c r="K25" s="1"/>
      <c r="L25" s="1"/>
    </row>
    <row r="26" spans="1:12" ht="15.75" x14ac:dyDescent="0.25">
      <c r="A26" s="17">
        <v>25</v>
      </c>
      <c r="B26" s="6"/>
      <c r="C26" s="3"/>
      <c r="D26" s="3"/>
      <c r="E26" s="3"/>
      <c r="F26" s="3"/>
      <c r="G26" s="3"/>
      <c r="H26" s="25"/>
      <c r="I26" s="33">
        <f t="shared" si="0"/>
        <v>0</v>
      </c>
      <c r="J26" s="1"/>
      <c r="K26" s="1"/>
      <c r="L26" s="1"/>
    </row>
    <row r="27" spans="1:12" ht="15.75" x14ac:dyDescent="0.25">
      <c r="A27" s="55">
        <v>26</v>
      </c>
      <c r="B27" s="6"/>
      <c r="C27" s="3"/>
      <c r="D27" s="3"/>
      <c r="E27" s="3"/>
      <c r="F27" s="3"/>
      <c r="G27" s="3"/>
      <c r="H27" s="25"/>
      <c r="I27" s="33">
        <f t="shared" si="0"/>
        <v>0</v>
      </c>
      <c r="J27" s="1"/>
      <c r="K27" s="1"/>
      <c r="L27" s="1"/>
    </row>
    <row r="28" spans="1:12" ht="15.75" x14ac:dyDescent="0.25">
      <c r="A28" s="55">
        <v>27</v>
      </c>
      <c r="B28" s="6"/>
      <c r="C28" s="3"/>
      <c r="D28" s="3">
        <v>40</v>
      </c>
      <c r="E28" s="3">
        <v>10</v>
      </c>
      <c r="F28" s="3"/>
      <c r="G28" s="3"/>
      <c r="H28" s="25"/>
      <c r="I28" s="33">
        <f t="shared" si="0"/>
        <v>50</v>
      </c>
      <c r="J28" s="1"/>
      <c r="K28" s="1"/>
      <c r="L28" s="1"/>
    </row>
    <row r="29" spans="1:12" ht="15.75" x14ac:dyDescent="0.25">
      <c r="A29" s="17">
        <v>28</v>
      </c>
      <c r="B29" s="6">
        <v>49</v>
      </c>
      <c r="C29" s="3"/>
      <c r="D29" s="3"/>
      <c r="E29" s="3"/>
      <c r="F29" s="3"/>
      <c r="G29" s="3"/>
      <c r="H29" s="25"/>
      <c r="I29" s="33">
        <f t="shared" si="0"/>
        <v>49</v>
      </c>
      <c r="J29" s="1"/>
      <c r="K29" s="1"/>
      <c r="L29" s="1"/>
    </row>
    <row r="30" spans="1:12" ht="15.75" x14ac:dyDescent="0.25">
      <c r="A30" s="17">
        <v>29</v>
      </c>
      <c r="B30" s="6">
        <v>4.5</v>
      </c>
      <c r="C30" s="3"/>
      <c r="D30" s="3"/>
      <c r="E30" s="3"/>
      <c r="F30" s="3"/>
      <c r="G30" s="3"/>
      <c r="H30" s="25"/>
      <c r="I30" s="33">
        <f t="shared" si="0"/>
        <v>4.5</v>
      </c>
      <c r="J30" s="1"/>
      <c r="K30" s="1"/>
      <c r="L30" s="1"/>
    </row>
    <row r="31" spans="1:12" ht="15.75" x14ac:dyDescent="0.25">
      <c r="A31" s="17">
        <v>30</v>
      </c>
      <c r="B31" s="6"/>
      <c r="C31" s="3">
        <v>23</v>
      </c>
      <c r="D31" s="3"/>
      <c r="E31" s="3"/>
      <c r="F31" s="3"/>
      <c r="G31" s="3"/>
      <c r="H31" s="25"/>
      <c r="I31" s="33">
        <f t="shared" si="0"/>
        <v>23</v>
      </c>
      <c r="J31" s="1"/>
      <c r="K31" s="1"/>
      <c r="L31" s="1"/>
    </row>
    <row r="32" spans="1:12" ht="16.5" thickBot="1" x14ac:dyDescent="0.3">
      <c r="A32" s="67">
        <v>31</v>
      </c>
      <c r="B32" s="68"/>
      <c r="C32" s="69"/>
      <c r="D32" s="69"/>
      <c r="E32" s="69"/>
      <c r="F32" s="69"/>
      <c r="G32" s="69"/>
      <c r="H32" s="70"/>
      <c r="I32" s="73">
        <f t="shared" si="0"/>
        <v>0</v>
      </c>
      <c r="J32" s="1"/>
      <c r="K32" s="1"/>
      <c r="L32" s="1"/>
    </row>
    <row r="33" spans="1:9" ht="16.5" thickBot="1" x14ac:dyDescent="0.3">
      <c r="A33" s="9" t="s">
        <v>3</v>
      </c>
      <c r="B33" s="27">
        <f>SUM(B2:B32)</f>
        <v>75.5</v>
      </c>
      <c r="C33" s="28">
        <f>SUM(C2:C32)</f>
        <v>126.7</v>
      </c>
      <c r="D33" s="27">
        <f t="shared" ref="D33:H33" si="1">SUM(D2:D32)</f>
        <v>130</v>
      </c>
      <c r="E33" s="28">
        <f t="shared" si="1"/>
        <v>47</v>
      </c>
      <c r="F33" s="28">
        <f t="shared" si="1"/>
        <v>107</v>
      </c>
      <c r="G33" s="27">
        <f t="shared" si="1"/>
        <v>95.5</v>
      </c>
      <c r="H33" s="28">
        <f t="shared" si="1"/>
        <v>0</v>
      </c>
      <c r="I33" s="32">
        <f>SUM(I2:I32)</f>
        <v>581.70000000000005</v>
      </c>
    </row>
  </sheetData>
  <conditionalFormatting sqref="L16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3"/>
  <sheetViews>
    <sheetView topLeftCell="A10" workbookViewId="0">
      <selection activeCell="G29" sqref="G29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3" ht="16.5" thickBot="1" x14ac:dyDescent="0.3">
      <c r="A1" s="60" t="s">
        <v>0</v>
      </c>
      <c r="B1" s="30" t="s">
        <v>25</v>
      </c>
      <c r="C1" s="29" t="s">
        <v>26</v>
      </c>
      <c r="D1" s="30" t="s">
        <v>1</v>
      </c>
      <c r="E1" s="30" t="s">
        <v>9</v>
      </c>
      <c r="F1" s="30" t="s">
        <v>2</v>
      </c>
      <c r="G1" s="30" t="s">
        <v>4</v>
      </c>
      <c r="H1" s="31" t="s">
        <v>5</v>
      </c>
      <c r="I1" s="34" t="s">
        <v>3</v>
      </c>
      <c r="J1" s="1"/>
      <c r="K1" s="10" t="s">
        <v>23</v>
      </c>
      <c r="L1" s="96" t="s">
        <v>27</v>
      </c>
    </row>
    <row r="2" spans="1:13" ht="16.5" thickBot="1" x14ac:dyDescent="0.3">
      <c r="A2" s="18">
        <v>1</v>
      </c>
      <c r="B2" s="58"/>
      <c r="C2" s="56"/>
      <c r="D2" s="5"/>
      <c r="E2" s="4"/>
      <c r="F2" s="4"/>
      <c r="G2" s="4"/>
      <c r="H2" s="24"/>
      <c r="I2" s="33">
        <f>SUM(B2:H2)</f>
        <v>0</v>
      </c>
      <c r="J2" s="1"/>
      <c r="K2" s="94">
        <v>217</v>
      </c>
      <c r="L2" s="16">
        <f>15+21.31+10.47</f>
        <v>46.78</v>
      </c>
    </row>
    <row r="3" spans="1:13" ht="15.75" x14ac:dyDescent="0.25">
      <c r="A3" s="17">
        <v>2</v>
      </c>
      <c r="B3" s="6"/>
      <c r="C3" s="4"/>
      <c r="D3" s="3"/>
      <c r="E3" s="3"/>
      <c r="F3" s="3"/>
      <c r="G3" s="3">
        <v>24.5</v>
      </c>
      <c r="H3" s="25" t="s">
        <v>77</v>
      </c>
      <c r="I3" s="33">
        <f t="shared" ref="I3:I32" si="0">SUM(B3:H3)</f>
        <v>24.5</v>
      </c>
      <c r="J3" s="89"/>
      <c r="K3" s="90"/>
      <c r="L3" s="91"/>
      <c r="M3" s="79"/>
    </row>
    <row r="4" spans="1:13" ht="15.75" x14ac:dyDescent="0.25">
      <c r="A4" s="55">
        <v>3</v>
      </c>
      <c r="B4" s="6"/>
      <c r="C4" s="3"/>
      <c r="D4" s="3"/>
      <c r="E4" s="3"/>
      <c r="F4" s="3"/>
      <c r="G4" s="3"/>
      <c r="H4" s="25"/>
      <c r="I4" s="33">
        <f t="shared" si="0"/>
        <v>0</v>
      </c>
      <c r="J4" s="1"/>
      <c r="K4" s="2"/>
      <c r="L4" s="1"/>
    </row>
    <row r="5" spans="1:13" ht="15.75" x14ac:dyDescent="0.25">
      <c r="A5" s="55">
        <v>4</v>
      </c>
      <c r="B5" s="6"/>
      <c r="C5" s="3"/>
      <c r="D5" s="3"/>
      <c r="E5" s="3"/>
      <c r="F5" s="3"/>
      <c r="G5" s="3"/>
      <c r="H5" s="25"/>
      <c r="I5" s="33">
        <f t="shared" si="0"/>
        <v>0</v>
      </c>
      <c r="J5" s="1"/>
      <c r="K5" s="2"/>
      <c r="L5" s="1"/>
    </row>
    <row r="6" spans="1:13" ht="15.75" x14ac:dyDescent="0.25">
      <c r="A6" s="17">
        <v>5</v>
      </c>
      <c r="B6" s="6">
        <v>17.5</v>
      </c>
      <c r="C6" s="3"/>
      <c r="D6" s="3"/>
      <c r="E6" s="3"/>
      <c r="F6" s="3"/>
      <c r="G6" s="3"/>
      <c r="H6" s="25"/>
      <c r="I6" s="33">
        <f t="shared" si="0"/>
        <v>17.5</v>
      </c>
      <c r="J6" s="1"/>
      <c r="K6" s="2"/>
      <c r="L6" s="1"/>
    </row>
    <row r="7" spans="1:13" ht="15.75" x14ac:dyDescent="0.25">
      <c r="A7" s="17">
        <v>6</v>
      </c>
      <c r="B7" s="6"/>
      <c r="C7" s="3"/>
      <c r="D7" s="3"/>
      <c r="E7" s="3"/>
      <c r="F7" s="3"/>
      <c r="G7" s="3"/>
      <c r="H7" s="25"/>
      <c r="I7" s="33">
        <f t="shared" si="0"/>
        <v>0</v>
      </c>
      <c r="J7" s="1"/>
      <c r="K7" s="2"/>
      <c r="L7" s="1"/>
    </row>
    <row r="8" spans="1:13" ht="15.75" x14ac:dyDescent="0.25">
      <c r="A8" s="17">
        <v>7</v>
      </c>
      <c r="B8" s="6"/>
      <c r="C8" s="3"/>
      <c r="D8" s="3"/>
      <c r="E8" s="3"/>
      <c r="F8" s="3"/>
      <c r="G8" s="3"/>
      <c r="H8" s="25"/>
      <c r="I8" s="33">
        <f t="shared" si="0"/>
        <v>0</v>
      </c>
      <c r="J8" s="1"/>
      <c r="K8" s="2"/>
      <c r="L8" s="1"/>
    </row>
    <row r="9" spans="1:13" ht="15.75" x14ac:dyDescent="0.25">
      <c r="A9" s="17">
        <v>8</v>
      </c>
      <c r="B9" s="6"/>
      <c r="C9" s="3">
        <v>15</v>
      </c>
      <c r="D9" s="3"/>
      <c r="E9" s="3"/>
      <c r="F9" s="3"/>
      <c r="G9" s="3"/>
      <c r="H9" s="25"/>
      <c r="I9" s="33">
        <f t="shared" si="0"/>
        <v>15</v>
      </c>
      <c r="J9" s="1"/>
      <c r="K9" s="2"/>
      <c r="L9" s="1"/>
    </row>
    <row r="10" spans="1:13" ht="15.75" x14ac:dyDescent="0.25">
      <c r="A10" s="17">
        <v>9</v>
      </c>
      <c r="B10" s="6"/>
      <c r="C10" s="3"/>
      <c r="D10" s="3"/>
      <c r="E10" s="3"/>
      <c r="F10" s="3"/>
      <c r="G10" s="3"/>
      <c r="H10" s="25"/>
      <c r="I10" s="33">
        <f t="shared" si="0"/>
        <v>0</v>
      </c>
      <c r="J10" s="1"/>
      <c r="K10" s="2"/>
      <c r="L10" s="1"/>
    </row>
    <row r="11" spans="1:13" ht="15.75" x14ac:dyDescent="0.25">
      <c r="A11" s="55">
        <v>10</v>
      </c>
      <c r="B11" s="6"/>
      <c r="C11" s="3"/>
      <c r="D11" s="3">
        <v>40</v>
      </c>
      <c r="E11" s="3"/>
      <c r="F11" s="3"/>
      <c r="G11" s="3"/>
      <c r="H11" s="25"/>
      <c r="I11" s="33">
        <f t="shared" si="0"/>
        <v>40</v>
      </c>
      <c r="J11" s="1"/>
      <c r="K11" s="2"/>
      <c r="L11" s="1"/>
    </row>
    <row r="12" spans="1:13" ht="16.5" thickBot="1" x14ac:dyDescent="0.3">
      <c r="A12" s="55">
        <v>11</v>
      </c>
      <c r="B12" s="6">
        <v>4.5</v>
      </c>
      <c r="C12" s="3"/>
      <c r="D12" s="3"/>
      <c r="E12" s="3"/>
      <c r="F12" s="3"/>
      <c r="G12" s="3"/>
      <c r="H12" s="25"/>
      <c r="I12" s="33">
        <f t="shared" si="0"/>
        <v>4.5</v>
      </c>
      <c r="J12" s="1"/>
      <c r="K12" s="2"/>
      <c r="L12" s="1"/>
    </row>
    <row r="13" spans="1:13" ht="16.5" thickBot="1" x14ac:dyDescent="0.3">
      <c r="A13" s="17">
        <v>12</v>
      </c>
      <c r="B13" s="6"/>
      <c r="C13" s="3"/>
      <c r="D13" s="3"/>
      <c r="E13" s="3"/>
      <c r="F13" s="3"/>
      <c r="G13" s="3"/>
      <c r="H13" s="25"/>
      <c r="I13" s="33">
        <f t="shared" si="0"/>
        <v>0</v>
      </c>
      <c r="J13" s="1"/>
      <c r="K13" s="10" t="s">
        <v>6</v>
      </c>
      <c r="L13" s="20">
        <f>1904+100</f>
        <v>2004</v>
      </c>
      <c r="M13" s="80" t="s">
        <v>81</v>
      </c>
    </row>
    <row r="14" spans="1:13" ht="15.75" x14ac:dyDescent="0.25">
      <c r="A14" s="17">
        <v>13</v>
      </c>
      <c r="B14" s="6"/>
      <c r="C14" s="3">
        <v>0.9</v>
      </c>
      <c r="D14" s="3"/>
      <c r="E14" s="3">
        <v>10</v>
      </c>
      <c r="F14" s="3"/>
      <c r="G14" s="3"/>
      <c r="H14" s="25"/>
      <c r="I14" s="33">
        <f t="shared" si="0"/>
        <v>10.9</v>
      </c>
      <c r="J14" s="1"/>
      <c r="K14" s="15" t="s">
        <v>7</v>
      </c>
      <c r="L14" s="19">
        <f>SUM(B33:H33)+K2+L2</f>
        <v>553.94999999999993</v>
      </c>
      <c r="M14" s="87">
        <f>L14*100/L13/100</f>
        <v>0.27642215568862272</v>
      </c>
    </row>
    <row r="15" spans="1:13" ht="15.75" x14ac:dyDescent="0.25">
      <c r="A15" s="17">
        <v>14</v>
      </c>
      <c r="B15" s="6"/>
      <c r="C15" s="3"/>
      <c r="D15" s="3"/>
      <c r="E15" s="3"/>
      <c r="F15" s="3"/>
      <c r="G15" s="3"/>
      <c r="H15" s="25"/>
      <c r="I15" s="33">
        <f t="shared" si="0"/>
        <v>0</v>
      </c>
      <c r="J15" s="1"/>
      <c r="K15" s="13"/>
      <c r="L15" s="12"/>
      <c r="M15" s="86"/>
    </row>
    <row r="16" spans="1:13" ht="16.5" thickBot="1" x14ac:dyDescent="0.3">
      <c r="A16" s="17">
        <v>15</v>
      </c>
      <c r="B16" s="6"/>
      <c r="C16" s="3"/>
      <c r="D16" s="3"/>
      <c r="E16" s="3"/>
      <c r="F16" s="3"/>
      <c r="G16" s="3"/>
      <c r="H16" s="25"/>
      <c r="I16" s="33">
        <f t="shared" si="0"/>
        <v>0</v>
      </c>
      <c r="J16" s="1"/>
      <c r="K16" s="14" t="s">
        <v>8</v>
      </c>
      <c r="L16" s="11">
        <f>L13-L14</f>
        <v>1450.0500000000002</v>
      </c>
      <c r="M16" s="88">
        <f>(L16*100/L13)/100</f>
        <v>0.72357784431137739</v>
      </c>
    </row>
    <row r="17" spans="1:12" ht="15.75" x14ac:dyDescent="0.25">
      <c r="A17" s="17">
        <v>16</v>
      </c>
      <c r="B17" s="6"/>
      <c r="C17" s="3"/>
      <c r="D17" s="3">
        <v>20</v>
      </c>
      <c r="E17" s="3"/>
      <c r="F17" s="3">
        <v>4</v>
      </c>
      <c r="G17" s="3"/>
      <c r="H17" s="25"/>
      <c r="I17" s="33">
        <f t="shared" si="0"/>
        <v>24</v>
      </c>
      <c r="J17" s="1"/>
      <c r="K17" s="1"/>
      <c r="L17" s="1"/>
    </row>
    <row r="18" spans="1:12" ht="15.75" x14ac:dyDescent="0.25">
      <c r="A18" s="55">
        <v>17</v>
      </c>
      <c r="B18" s="6"/>
      <c r="C18" s="3"/>
      <c r="D18" s="3"/>
      <c r="E18" s="3"/>
      <c r="F18" s="3">
        <v>2.7</v>
      </c>
      <c r="G18" s="3"/>
      <c r="H18" s="25"/>
      <c r="I18" s="33">
        <f t="shared" si="0"/>
        <v>2.7</v>
      </c>
      <c r="J18" s="1"/>
      <c r="K18" s="1"/>
      <c r="L18" s="1"/>
    </row>
    <row r="19" spans="1:12" ht="15.75" x14ac:dyDescent="0.25">
      <c r="A19" s="55">
        <v>18</v>
      </c>
      <c r="B19" s="6">
        <v>20</v>
      </c>
      <c r="C19" s="3"/>
      <c r="D19" s="3">
        <v>40</v>
      </c>
      <c r="E19" s="3"/>
      <c r="F19" s="3">
        <v>1.7</v>
      </c>
      <c r="G19" s="3"/>
      <c r="H19" s="25" t="s">
        <v>78</v>
      </c>
      <c r="I19" s="33">
        <f t="shared" si="0"/>
        <v>61.7</v>
      </c>
      <c r="J19" s="1"/>
      <c r="K19" s="1"/>
      <c r="L19" s="1"/>
    </row>
    <row r="20" spans="1:12" ht="15.75" x14ac:dyDescent="0.25">
      <c r="A20" s="17">
        <v>19</v>
      </c>
      <c r="B20" s="6"/>
      <c r="C20" s="3"/>
      <c r="D20" s="3"/>
      <c r="E20" s="3"/>
      <c r="F20" s="3"/>
      <c r="G20" s="3"/>
      <c r="H20" s="25"/>
      <c r="I20" s="33">
        <f t="shared" si="0"/>
        <v>0</v>
      </c>
      <c r="J20" s="1"/>
      <c r="K20" s="1"/>
      <c r="L20" s="1"/>
    </row>
    <row r="21" spans="1:12" ht="15.75" x14ac:dyDescent="0.25">
      <c r="A21" s="17">
        <v>20</v>
      </c>
      <c r="B21" s="6"/>
      <c r="C21" s="3"/>
      <c r="D21" s="3"/>
      <c r="E21" s="3">
        <v>10</v>
      </c>
      <c r="F21" s="3"/>
      <c r="G21" s="3"/>
      <c r="H21" s="25"/>
      <c r="I21" s="33">
        <f t="shared" si="0"/>
        <v>10</v>
      </c>
      <c r="J21" s="1"/>
      <c r="K21" s="1"/>
      <c r="L21" s="1"/>
    </row>
    <row r="22" spans="1:12" ht="15.75" x14ac:dyDescent="0.25">
      <c r="A22" s="17">
        <v>21</v>
      </c>
      <c r="B22" s="6">
        <v>35</v>
      </c>
      <c r="C22" s="3"/>
      <c r="D22" s="3"/>
      <c r="E22" s="3"/>
      <c r="F22" s="3"/>
      <c r="G22" s="3"/>
      <c r="H22" s="25"/>
      <c r="I22" s="33">
        <f t="shared" si="0"/>
        <v>35</v>
      </c>
      <c r="J22" s="1"/>
      <c r="K22" s="1"/>
      <c r="L22" s="1"/>
    </row>
    <row r="23" spans="1:12" ht="15.75" x14ac:dyDescent="0.25">
      <c r="A23" s="17">
        <v>22</v>
      </c>
      <c r="B23" s="6">
        <v>1.87</v>
      </c>
      <c r="C23" s="3"/>
      <c r="D23" s="3"/>
      <c r="E23" s="3"/>
      <c r="F23" s="3"/>
      <c r="G23" s="3"/>
      <c r="H23" s="25"/>
      <c r="I23" s="33">
        <f t="shared" si="0"/>
        <v>1.87</v>
      </c>
      <c r="J23" s="1"/>
      <c r="K23" s="1"/>
      <c r="L23" s="1"/>
    </row>
    <row r="24" spans="1:12" ht="15.75" x14ac:dyDescent="0.25">
      <c r="A24" s="17">
        <v>23</v>
      </c>
      <c r="B24" s="6"/>
      <c r="C24" s="3">
        <v>1</v>
      </c>
      <c r="D24" s="3"/>
      <c r="E24" s="3"/>
      <c r="F24" s="3"/>
      <c r="G24" s="3"/>
      <c r="H24" s="25"/>
      <c r="I24" s="33">
        <f t="shared" si="0"/>
        <v>1</v>
      </c>
      <c r="J24" s="1"/>
      <c r="K24" s="1"/>
      <c r="L24" s="1"/>
    </row>
    <row r="25" spans="1:12" ht="15.75" x14ac:dyDescent="0.25">
      <c r="A25" s="55">
        <v>24</v>
      </c>
      <c r="B25" s="6">
        <v>9.5</v>
      </c>
      <c r="C25" s="3"/>
      <c r="D25" s="3"/>
      <c r="E25" s="3"/>
      <c r="F25" s="3"/>
      <c r="G25" s="3"/>
      <c r="H25" s="25"/>
      <c r="I25" s="33">
        <f t="shared" si="0"/>
        <v>9.5</v>
      </c>
      <c r="J25" s="1"/>
      <c r="K25" s="1"/>
      <c r="L25" s="1"/>
    </row>
    <row r="26" spans="1:12" ht="15.75" x14ac:dyDescent="0.25">
      <c r="A26" s="55">
        <v>25</v>
      </c>
      <c r="B26" s="6"/>
      <c r="C26" s="3">
        <v>24</v>
      </c>
      <c r="D26" s="3"/>
      <c r="E26" s="3"/>
      <c r="F26" s="3"/>
      <c r="G26" s="3"/>
      <c r="H26" s="25"/>
      <c r="I26" s="33">
        <f t="shared" si="0"/>
        <v>24</v>
      </c>
      <c r="J26" s="1"/>
      <c r="K26" s="1"/>
      <c r="L26" s="1"/>
    </row>
    <row r="27" spans="1:12" ht="15.75" x14ac:dyDescent="0.25">
      <c r="A27" s="17">
        <v>26</v>
      </c>
      <c r="B27" s="6"/>
      <c r="C27" s="3"/>
      <c r="D27" s="3"/>
      <c r="E27" s="3"/>
      <c r="F27" s="3"/>
      <c r="G27" s="3"/>
      <c r="H27" s="25"/>
      <c r="I27" s="33">
        <f t="shared" si="0"/>
        <v>0</v>
      </c>
      <c r="J27" s="1"/>
      <c r="K27" s="1"/>
      <c r="L27" s="1"/>
    </row>
    <row r="28" spans="1:12" ht="15.75" x14ac:dyDescent="0.25">
      <c r="A28" s="17">
        <v>27</v>
      </c>
      <c r="B28" s="6"/>
      <c r="C28" s="3"/>
      <c r="D28" s="3"/>
      <c r="E28" s="3"/>
      <c r="F28" s="3"/>
      <c r="G28" s="3"/>
      <c r="H28" s="25"/>
      <c r="I28" s="33">
        <f t="shared" si="0"/>
        <v>0</v>
      </c>
      <c r="J28" s="1"/>
      <c r="K28" s="1"/>
      <c r="L28" s="1"/>
    </row>
    <row r="29" spans="1:12" ht="15.75" x14ac:dyDescent="0.25">
      <c r="A29" s="17">
        <v>28</v>
      </c>
      <c r="B29" s="6"/>
      <c r="C29" s="3"/>
      <c r="D29" s="3"/>
      <c r="E29" s="3"/>
      <c r="F29" s="3"/>
      <c r="G29" s="3"/>
      <c r="H29" s="25"/>
      <c r="I29" s="33">
        <f t="shared" si="0"/>
        <v>0</v>
      </c>
      <c r="J29" s="1"/>
      <c r="K29" s="1"/>
      <c r="L29" s="1"/>
    </row>
    <row r="30" spans="1:12" ht="15.75" x14ac:dyDescent="0.25">
      <c r="A30" s="17">
        <v>29</v>
      </c>
      <c r="B30" s="6"/>
      <c r="C30" s="3"/>
      <c r="D30" s="3"/>
      <c r="E30" s="3"/>
      <c r="F30" s="3"/>
      <c r="G30" s="3"/>
      <c r="H30" s="25"/>
      <c r="I30" s="33">
        <f t="shared" si="0"/>
        <v>0</v>
      </c>
      <c r="J30" s="1"/>
      <c r="K30" s="1"/>
      <c r="L30" s="1"/>
    </row>
    <row r="31" spans="1:12" ht="15.75" x14ac:dyDescent="0.25">
      <c r="A31" s="17">
        <v>30</v>
      </c>
      <c r="B31" s="6"/>
      <c r="C31" s="3"/>
      <c r="D31" s="3"/>
      <c r="E31" s="3"/>
      <c r="F31" s="3"/>
      <c r="G31" s="3"/>
      <c r="H31" s="25"/>
      <c r="I31" s="33">
        <f t="shared" si="0"/>
        <v>0</v>
      </c>
      <c r="J31" s="1"/>
      <c r="K31" s="1"/>
      <c r="L31" s="1"/>
    </row>
    <row r="32" spans="1:12" ht="16.5" thickBot="1" x14ac:dyDescent="0.3">
      <c r="A32" s="55">
        <v>31</v>
      </c>
      <c r="B32" s="7"/>
      <c r="C32" s="8">
        <v>8</v>
      </c>
      <c r="D32" s="8"/>
      <c r="E32" s="8"/>
      <c r="F32" s="8"/>
      <c r="G32" s="8"/>
      <c r="H32" s="26"/>
      <c r="I32" s="33">
        <f t="shared" si="0"/>
        <v>8</v>
      </c>
      <c r="J32" s="1"/>
      <c r="K32" s="1"/>
      <c r="L32" s="1"/>
    </row>
    <row r="33" spans="1:9" ht="16.5" thickBot="1" x14ac:dyDescent="0.3">
      <c r="A33" s="9" t="s">
        <v>3</v>
      </c>
      <c r="B33" s="27">
        <f>SUM(B2:B32)</f>
        <v>88.37</v>
      </c>
      <c r="C33" s="28">
        <f>SUM(C2:C32)</f>
        <v>48.9</v>
      </c>
      <c r="D33" s="27">
        <f t="shared" ref="D33:H33" si="1">SUM(D2:D32)</f>
        <v>100</v>
      </c>
      <c r="E33" s="28">
        <f t="shared" si="1"/>
        <v>20</v>
      </c>
      <c r="F33" s="28">
        <f t="shared" si="1"/>
        <v>8.4</v>
      </c>
      <c r="G33" s="27">
        <f t="shared" si="1"/>
        <v>24.5</v>
      </c>
      <c r="H33" s="28">
        <f t="shared" si="1"/>
        <v>0</v>
      </c>
      <c r="I33" s="32">
        <f>SUM(I2:I32)</f>
        <v>290.17</v>
      </c>
    </row>
  </sheetData>
  <conditionalFormatting sqref="L16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3"/>
  <sheetViews>
    <sheetView workbookViewId="0">
      <selection activeCell="L2" sqref="L2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3" ht="16.5" thickBot="1" x14ac:dyDescent="0.3">
      <c r="A1" s="60" t="s">
        <v>0</v>
      </c>
      <c r="B1" s="30" t="s">
        <v>25</v>
      </c>
      <c r="C1" s="29" t="s">
        <v>26</v>
      </c>
      <c r="D1" s="30" t="s">
        <v>1</v>
      </c>
      <c r="E1" s="30" t="s">
        <v>9</v>
      </c>
      <c r="F1" s="30" t="s">
        <v>2</v>
      </c>
      <c r="G1" s="30" t="s">
        <v>4</v>
      </c>
      <c r="H1" s="31" t="s">
        <v>5</v>
      </c>
      <c r="I1" s="34" t="s">
        <v>3</v>
      </c>
      <c r="J1" s="1"/>
      <c r="K1" s="10" t="s">
        <v>23</v>
      </c>
      <c r="L1" s="96" t="s">
        <v>27</v>
      </c>
    </row>
    <row r="2" spans="1:13" ht="16.5" thickBot="1" x14ac:dyDescent="0.3">
      <c r="A2" s="62">
        <v>1</v>
      </c>
      <c r="B2" s="58"/>
      <c r="C2" s="56"/>
      <c r="D2" s="5"/>
      <c r="E2" s="4"/>
      <c r="F2" s="4"/>
      <c r="G2" s="4"/>
      <c r="H2" s="24"/>
      <c r="I2" s="33">
        <f>SUM(B2:H2)</f>
        <v>0</v>
      </c>
      <c r="J2" s="93"/>
      <c r="K2" s="94">
        <v>217</v>
      </c>
      <c r="L2" s="16">
        <f>M2-K2</f>
        <v>29.080000000000013</v>
      </c>
      <c r="M2">
        <v>246.08</v>
      </c>
    </row>
    <row r="3" spans="1:13" ht="15.75" x14ac:dyDescent="0.25">
      <c r="A3" s="17">
        <v>2</v>
      </c>
      <c r="B3" s="6"/>
      <c r="C3" s="4"/>
      <c r="D3" s="3"/>
      <c r="E3" s="3"/>
      <c r="F3" s="3"/>
      <c r="G3" s="3">
        <v>6</v>
      </c>
      <c r="H3" s="25" t="s">
        <v>30</v>
      </c>
      <c r="I3" s="33">
        <f t="shared" ref="I3:I32" si="0">SUM(B3:H3)</f>
        <v>6</v>
      </c>
      <c r="J3" s="89"/>
      <c r="K3" s="90"/>
      <c r="L3" s="91"/>
      <c r="M3" s="95"/>
    </row>
    <row r="4" spans="1:13" ht="15.75" x14ac:dyDescent="0.25">
      <c r="A4" s="17">
        <v>3</v>
      </c>
      <c r="B4" s="6"/>
      <c r="C4" s="3"/>
      <c r="D4" s="3"/>
      <c r="E4" s="3"/>
      <c r="F4" s="3"/>
      <c r="G4" s="3"/>
      <c r="H4" s="25"/>
      <c r="I4" s="33">
        <f t="shared" si="0"/>
        <v>0</v>
      </c>
      <c r="J4" s="1"/>
      <c r="K4" s="2"/>
      <c r="L4" s="1"/>
    </row>
    <row r="5" spans="1:13" ht="15.75" x14ac:dyDescent="0.25">
      <c r="A5" s="17">
        <v>4</v>
      </c>
      <c r="B5" s="6"/>
      <c r="C5" s="3"/>
      <c r="D5" s="3"/>
      <c r="E5" s="3"/>
      <c r="F5" s="3"/>
      <c r="G5" s="3"/>
      <c r="H5" s="25"/>
      <c r="I5" s="33">
        <f t="shared" si="0"/>
        <v>0</v>
      </c>
      <c r="J5" s="1"/>
      <c r="K5" s="2"/>
      <c r="L5" s="1"/>
    </row>
    <row r="6" spans="1:13" ht="15.75" x14ac:dyDescent="0.25">
      <c r="A6" s="17">
        <v>5</v>
      </c>
      <c r="B6" s="6"/>
      <c r="C6" s="3">
        <v>30</v>
      </c>
      <c r="D6" s="3"/>
      <c r="E6" s="3"/>
      <c r="F6" s="3"/>
      <c r="G6" s="3"/>
      <c r="H6" s="25"/>
      <c r="I6" s="33">
        <f t="shared" si="0"/>
        <v>30</v>
      </c>
      <c r="J6" s="1"/>
      <c r="K6" s="2"/>
      <c r="L6" s="1"/>
    </row>
    <row r="7" spans="1:13" ht="15.75" x14ac:dyDescent="0.25">
      <c r="A7" s="17">
        <v>6</v>
      </c>
      <c r="B7" s="6"/>
      <c r="C7" s="3"/>
      <c r="D7" s="3"/>
      <c r="E7" s="3">
        <v>10.4</v>
      </c>
      <c r="F7" s="3"/>
      <c r="G7" s="3"/>
      <c r="H7" s="25"/>
      <c r="I7" s="33">
        <f t="shared" si="0"/>
        <v>10.4</v>
      </c>
      <c r="J7" s="1"/>
      <c r="K7" s="2"/>
      <c r="L7" s="1"/>
    </row>
    <row r="8" spans="1:13" ht="15.75" x14ac:dyDescent="0.25">
      <c r="A8" s="55">
        <v>7</v>
      </c>
      <c r="B8" s="6"/>
      <c r="C8" s="3"/>
      <c r="D8" s="3"/>
      <c r="E8" s="3"/>
      <c r="F8" s="3"/>
      <c r="G8" s="3">
        <v>100</v>
      </c>
      <c r="H8" s="25" t="s">
        <v>82</v>
      </c>
      <c r="I8" s="33">
        <f>SUM(B8:H8)</f>
        <v>100</v>
      </c>
      <c r="J8" s="1"/>
      <c r="K8" s="2"/>
      <c r="L8" s="1"/>
    </row>
    <row r="9" spans="1:13" ht="15.75" x14ac:dyDescent="0.25">
      <c r="A9" s="55">
        <v>8</v>
      </c>
      <c r="B9" s="6"/>
      <c r="C9" s="3">
        <v>3.2</v>
      </c>
      <c r="D9" s="3"/>
      <c r="E9" s="3"/>
      <c r="F9" s="3"/>
      <c r="G9" s="3"/>
      <c r="H9" s="25"/>
      <c r="I9" s="33">
        <f t="shared" si="0"/>
        <v>3.2</v>
      </c>
      <c r="J9" s="1"/>
      <c r="K9" s="2"/>
      <c r="L9" s="1"/>
    </row>
    <row r="10" spans="1:13" ht="15.75" x14ac:dyDescent="0.25">
      <c r="A10" s="17">
        <v>9</v>
      </c>
      <c r="B10" s="6"/>
      <c r="C10" s="3">
        <v>1.6</v>
      </c>
      <c r="D10" s="3">
        <v>10</v>
      </c>
      <c r="E10" s="3"/>
      <c r="F10" s="3"/>
      <c r="G10" s="3">
        <v>77.599999999999994</v>
      </c>
      <c r="H10" s="25" t="s">
        <v>83</v>
      </c>
      <c r="I10" s="33">
        <f t="shared" si="0"/>
        <v>89.199999999999989</v>
      </c>
      <c r="J10" s="1"/>
      <c r="K10" s="2"/>
      <c r="L10" s="1"/>
    </row>
    <row r="11" spans="1:13" ht="15.75" x14ac:dyDescent="0.25">
      <c r="A11" s="17">
        <v>10</v>
      </c>
      <c r="B11" s="6"/>
      <c r="C11" s="3"/>
      <c r="D11" s="3">
        <v>50</v>
      </c>
      <c r="E11" s="3"/>
      <c r="F11" s="3"/>
      <c r="G11" s="3"/>
      <c r="H11" s="25"/>
      <c r="I11" s="33">
        <f t="shared" si="0"/>
        <v>50</v>
      </c>
      <c r="J11" s="1"/>
      <c r="K11" s="2"/>
      <c r="L11" s="1"/>
    </row>
    <row r="12" spans="1:13" ht="16.5" thickBot="1" x14ac:dyDescent="0.3">
      <c r="A12" s="17">
        <v>11</v>
      </c>
      <c r="B12" s="6"/>
      <c r="C12" s="3"/>
      <c r="D12" s="3"/>
      <c r="E12" s="3"/>
      <c r="F12" s="3">
        <v>7</v>
      </c>
      <c r="G12" s="3"/>
      <c r="H12" s="25"/>
      <c r="I12" s="33">
        <f t="shared" si="0"/>
        <v>7</v>
      </c>
      <c r="J12" s="1"/>
      <c r="K12" s="2"/>
      <c r="L12" s="1"/>
    </row>
    <row r="13" spans="1:13" ht="16.5" thickBot="1" x14ac:dyDescent="0.3">
      <c r="A13" s="17">
        <v>12</v>
      </c>
      <c r="B13" s="6"/>
      <c r="C13" s="3">
        <v>33</v>
      </c>
      <c r="D13" s="3"/>
      <c r="E13" s="3"/>
      <c r="F13" s="3">
        <v>10</v>
      </c>
      <c r="G13" s="3"/>
      <c r="H13" s="25" t="s">
        <v>84</v>
      </c>
      <c r="I13" s="33">
        <f t="shared" si="0"/>
        <v>43</v>
      </c>
      <c r="J13" s="1"/>
      <c r="K13" s="10" t="s">
        <v>6</v>
      </c>
      <c r="L13" s="20">
        <v>970</v>
      </c>
      <c r="M13" s="80"/>
    </row>
    <row r="14" spans="1:13" ht="15.75" x14ac:dyDescent="0.25">
      <c r="A14" s="17">
        <v>13</v>
      </c>
      <c r="B14" s="6"/>
      <c r="C14" s="3"/>
      <c r="D14" s="3"/>
      <c r="E14" s="3"/>
      <c r="F14" s="3">
        <v>15</v>
      </c>
      <c r="G14" s="3"/>
      <c r="H14" s="25"/>
      <c r="I14" s="33">
        <f t="shared" si="0"/>
        <v>15</v>
      </c>
      <c r="J14" s="1"/>
      <c r="K14" s="15" t="s">
        <v>7</v>
      </c>
      <c r="L14" s="19">
        <f>SUM(B33:H33)+K2+L2</f>
        <v>967.71</v>
      </c>
      <c r="M14" s="87">
        <f>L14*100/L13/100</f>
        <v>0.99763917525773194</v>
      </c>
    </row>
    <row r="15" spans="1:13" ht="15.75" x14ac:dyDescent="0.25">
      <c r="A15" s="55">
        <v>14</v>
      </c>
      <c r="B15" s="6"/>
      <c r="C15" s="3">
        <v>13</v>
      </c>
      <c r="D15" s="3"/>
      <c r="E15" s="3"/>
      <c r="F15" s="3">
        <v>2</v>
      </c>
      <c r="G15" s="3"/>
      <c r="H15" s="25" t="s">
        <v>85</v>
      </c>
      <c r="I15" s="33">
        <f t="shared" si="0"/>
        <v>15</v>
      </c>
      <c r="J15" s="1"/>
      <c r="K15" s="13"/>
      <c r="L15" s="12"/>
      <c r="M15" s="86"/>
    </row>
    <row r="16" spans="1:13" ht="16.5" thickBot="1" x14ac:dyDescent="0.3">
      <c r="A16" s="55">
        <v>15</v>
      </c>
      <c r="B16" s="6"/>
      <c r="C16" s="3">
        <v>1.6</v>
      </c>
      <c r="D16" s="3"/>
      <c r="E16" s="3"/>
      <c r="F16" s="3">
        <v>3</v>
      </c>
      <c r="G16" s="3"/>
      <c r="H16" s="25"/>
      <c r="I16" s="33">
        <f t="shared" si="0"/>
        <v>4.5999999999999996</v>
      </c>
      <c r="J16" s="1"/>
      <c r="K16" s="14" t="s">
        <v>8</v>
      </c>
      <c r="L16" s="11">
        <f>L13-L14</f>
        <v>2.2899999999999636</v>
      </c>
      <c r="M16" s="88">
        <f>(L16*100/L13)/100</f>
        <v>2.3608247422680037E-3</v>
      </c>
    </row>
    <row r="17" spans="1:12" ht="15.75" x14ac:dyDescent="0.25">
      <c r="A17" s="17">
        <v>16</v>
      </c>
      <c r="B17" s="6"/>
      <c r="C17" s="3">
        <v>1.6</v>
      </c>
      <c r="D17" s="3"/>
      <c r="E17" s="3"/>
      <c r="F17" s="3">
        <v>5</v>
      </c>
      <c r="G17" s="3"/>
      <c r="H17" s="25"/>
      <c r="I17" s="33">
        <f t="shared" si="0"/>
        <v>6.6</v>
      </c>
      <c r="J17" s="1"/>
      <c r="K17" s="1"/>
      <c r="L17" s="1"/>
    </row>
    <row r="18" spans="1:12" ht="15.75" x14ac:dyDescent="0.25">
      <c r="A18" s="17">
        <v>17</v>
      </c>
      <c r="B18" s="6"/>
      <c r="C18" s="3"/>
      <c r="D18" s="3"/>
      <c r="E18" s="3"/>
      <c r="F18" s="3">
        <v>4</v>
      </c>
      <c r="G18" s="3">
        <v>50</v>
      </c>
      <c r="H18" s="25"/>
      <c r="I18" s="33">
        <f t="shared" si="0"/>
        <v>54</v>
      </c>
      <c r="J18" s="1"/>
      <c r="K18" s="1"/>
      <c r="L18" s="1"/>
    </row>
    <row r="19" spans="1:12" ht="15.75" x14ac:dyDescent="0.25">
      <c r="A19" s="17">
        <v>18</v>
      </c>
      <c r="B19" s="6"/>
      <c r="C19" s="3">
        <v>1.6</v>
      </c>
      <c r="D19" s="3"/>
      <c r="E19" s="3"/>
      <c r="F19" s="3">
        <v>3</v>
      </c>
      <c r="G19" s="3"/>
      <c r="H19" s="25"/>
      <c r="I19" s="33">
        <f t="shared" si="0"/>
        <v>4.5999999999999996</v>
      </c>
      <c r="J19" s="1"/>
      <c r="K19" s="1"/>
      <c r="L19" s="1"/>
    </row>
    <row r="20" spans="1:12" ht="15.75" x14ac:dyDescent="0.25">
      <c r="A20" s="17">
        <v>19</v>
      </c>
      <c r="B20" s="6"/>
      <c r="C20" s="3">
        <v>4.3</v>
      </c>
      <c r="D20" s="3">
        <v>10</v>
      </c>
      <c r="E20" s="3"/>
      <c r="F20" s="3">
        <v>2.6</v>
      </c>
      <c r="G20" s="3"/>
      <c r="H20" s="25"/>
      <c r="I20" s="33">
        <f t="shared" si="0"/>
        <v>16.900000000000002</v>
      </c>
      <c r="J20" s="1"/>
      <c r="K20" s="1"/>
      <c r="L20" s="1"/>
    </row>
    <row r="21" spans="1:12" ht="15.75" x14ac:dyDescent="0.25">
      <c r="A21" s="17">
        <v>20</v>
      </c>
      <c r="B21" s="6"/>
      <c r="C21" s="3">
        <v>13</v>
      </c>
      <c r="D21" s="3"/>
      <c r="E21" s="3"/>
      <c r="F21" s="3">
        <v>15</v>
      </c>
      <c r="G21" s="3"/>
      <c r="H21" s="25" t="s">
        <v>86</v>
      </c>
      <c r="I21" s="33">
        <f t="shared" si="0"/>
        <v>28</v>
      </c>
      <c r="J21" s="1"/>
      <c r="K21" s="1"/>
      <c r="L21" s="1"/>
    </row>
    <row r="22" spans="1:12" ht="15.75" x14ac:dyDescent="0.25">
      <c r="A22" s="55">
        <v>21</v>
      </c>
      <c r="B22" s="6"/>
      <c r="C22" s="3">
        <v>1.6</v>
      </c>
      <c r="D22" s="3"/>
      <c r="E22" s="3"/>
      <c r="F22" s="3">
        <v>10</v>
      </c>
      <c r="G22" s="3"/>
      <c r="H22" s="25"/>
      <c r="I22" s="33">
        <f t="shared" si="0"/>
        <v>11.6</v>
      </c>
      <c r="J22" s="1"/>
      <c r="K22" s="1"/>
      <c r="L22" s="1"/>
    </row>
    <row r="23" spans="1:12" ht="15.75" x14ac:dyDescent="0.25">
      <c r="A23" s="55">
        <v>22</v>
      </c>
      <c r="B23" s="6"/>
      <c r="C23" s="3"/>
      <c r="D23" s="3">
        <v>50</v>
      </c>
      <c r="E23" s="3">
        <v>10</v>
      </c>
      <c r="F23" s="3"/>
      <c r="G23" s="3"/>
      <c r="H23" s="25"/>
      <c r="I23" s="33">
        <f t="shared" si="0"/>
        <v>60</v>
      </c>
      <c r="J23" s="1"/>
      <c r="K23" s="1"/>
      <c r="L23" s="1"/>
    </row>
    <row r="24" spans="1:12" ht="15.75" x14ac:dyDescent="0.25">
      <c r="A24" s="17">
        <v>23</v>
      </c>
      <c r="B24" s="6">
        <v>35</v>
      </c>
      <c r="C24" s="3">
        <v>16</v>
      </c>
      <c r="D24" s="3"/>
      <c r="E24" s="3"/>
      <c r="F24" s="3"/>
      <c r="G24" s="3"/>
      <c r="H24" s="25" t="s">
        <v>37</v>
      </c>
      <c r="I24" s="33">
        <f t="shared" si="0"/>
        <v>51</v>
      </c>
      <c r="J24" s="1"/>
      <c r="K24" s="1"/>
      <c r="L24" s="1"/>
    </row>
    <row r="25" spans="1:12" ht="15.75" x14ac:dyDescent="0.25">
      <c r="A25" s="17">
        <v>24</v>
      </c>
      <c r="B25" s="6"/>
      <c r="C25" s="3"/>
      <c r="D25" s="3"/>
      <c r="E25" s="3"/>
      <c r="F25" s="3"/>
      <c r="G25" s="3">
        <v>7.76</v>
      </c>
      <c r="H25" s="25" t="s">
        <v>30</v>
      </c>
      <c r="I25" s="33">
        <f t="shared" si="0"/>
        <v>7.76</v>
      </c>
      <c r="J25" s="1"/>
      <c r="K25" s="1"/>
      <c r="L25" s="1"/>
    </row>
    <row r="26" spans="1:12" ht="15.75" x14ac:dyDescent="0.25">
      <c r="A26" s="17">
        <v>25</v>
      </c>
      <c r="B26" s="6"/>
      <c r="C26" s="3"/>
      <c r="D26" s="3"/>
      <c r="E26" s="3"/>
      <c r="F26" s="3"/>
      <c r="G26" s="3"/>
      <c r="H26" s="25"/>
      <c r="I26" s="33">
        <f t="shared" si="0"/>
        <v>0</v>
      </c>
      <c r="J26" s="1"/>
      <c r="K26" s="1"/>
      <c r="L26" s="1"/>
    </row>
    <row r="27" spans="1:12" ht="15.75" x14ac:dyDescent="0.25">
      <c r="A27" s="17">
        <v>26</v>
      </c>
      <c r="B27" s="6">
        <v>5.57</v>
      </c>
      <c r="C27" s="3">
        <v>13</v>
      </c>
      <c r="D27" s="3"/>
      <c r="E27" s="3"/>
      <c r="F27" s="3"/>
      <c r="G27" s="3"/>
      <c r="H27" s="25" t="s">
        <v>87</v>
      </c>
      <c r="I27" s="33">
        <f t="shared" si="0"/>
        <v>18.57</v>
      </c>
      <c r="J27" s="1"/>
      <c r="K27" s="1"/>
      <c r="L27" s="1"/>
    </row>
    <row r="28" spans="1:12" ht="15.75" x14ac:dyDescent="0.25">
      <c r="A28" s="17">
        <v>27</v>
      </c>
      <c r="B28" s="6"/>
      <c r="C28" s="3"/>
      <c r="D28" s="3"/>
      <c r="E28" s="3"/>
      <c r="F28" s="3"/>
      <c r="G28" s="3"/>
      <c r="H28" s="25"/>
      <c r="I28" s="33">
        <f t="shared" si="0"/>
        <v>0</v>
      </c>
      <c r="J28" s="1"/>
      <c r="K28" s="1"/>
      <c r="L28" s="1"/>
    </row>
    <row r="29" spans="1:12" ht="15.75" x14ac:dyDescent="0.25">
      <c r="A29" s="55">
        <v>28</v>
      </c>
      <c r="B29" s="6"/>
      <c r="C29" s="3"/>
      <c r="D29" s="3">
        <v>20</v>
      </c>
      <c r="E29" s="3">
        <v>6.7</v>
      </c>
      <c r="F29" s="3"/>
      <c r="G29" s="3">
        <v>31</v>
      </c>
      <c r="H29" s="25" t="s">
        <v>88</v>
      </c>
      <c r="I29" s="33">
        <f t="shared" si="0"/>
        <v>57.7</v>
      </c>
      <c r="J29" s="1"/>
      <c r="K29" s="1"/>
      <c r="L29" s="1"/>
    </row>
    <row r="30" spans="1:12" ht="15.75" x14ac:dyDescent="0.25">
      <c r="A30" s="55">
        <v>29</v>
      </c>
      <c r="B30" s="6"/>
      <c r="C30" s="3"/>
      <c r="D30" s="3"/>
      <c r="E30" s="3"/>
      <c r="F30" s="3"/>
      <c r="G30" s="3"/>
      <c r="H30" s="25"/>
      <c r="I30" s="33">
        <f t="shared" si="0"/>
        <v>0</v>
      </c>
      <c r="J30" s="1"/>
      <c r="K30" s="1"/>
      <c r="L30" s="1"/>
    </row>
    <row r="31" spans="1:12" ht="15.75" x14ac:dyDescent="0.25">
      <c r="A31" s="17">
        <v>30</v>
      </c>
      <c r="B31" s="6"/>
      <c r="C31" s="3"/>
      <c r="D31" s="3"/>
      <c r="E31" s="3"/>
      <c r="F31" s="3"/>
      <c r="G31" s="3">
        <v>17.5</v>
      </c>
      <c r="H31" s="25" t="s">
        <v>89</v>
      </c>
      <c r="I31" s="33">
        <f t="shared" si="0"/>
        <v>17.5</v>
      </c>
      <c r="J31" s="1"/>
      <c r="K31" s="1"/>
      <c r="L31" s="1"/>
    </row>
    <row r="32" spans="1:12" ht="16.5" thickBot="1" x14ac:dyDescent="0.3">
      <c r="A32" s="17">
        <v>31</v>
      </c>
      <c r="B32" s="7"/>
      <c r="C32" s="8">
        <v>14</v>
      </c>
      <c r="D32" s="8"/>
      <c r="E32" s="8"/>
      <c r="F32" s="8"/>
      <c r="G32" s="8"/>
      <c r="H32" s="26" t="s">
        <v>38</v>
      </c>
      <c r="I32" s="33">
        <f t="shared" si="0"/>
        <v>14</v>
      </c>
      <c r="J32" s="1"/>
      <c r="K32" s="1"/>
      <c r="L32" s="1"/>
    </row>
    <row r="33" spans="1:9" ht="16.5" thickBot="1" x14ac:dyDescent="0.3">
      <c r="A33" s="9" t="s">
        <v>3</v>
      </c>
      <c r="B33" s="27">
        <f>SUM(B2:B32)</f>
        <v>40.57</v>
      </c>
      <c r="C33" s="28">
        <f>SUM(C2:C32)</f>
        <v>147.5</v>
      </c>
      <c r="D33" s="27">
        <f t="shared" ref="D33:H33" si="1">SUM(D2:D32)</f>
        <v>140</v>
      </c>
      <c r="E33" s="28">
        <f t="shared" si="1"/>
        <v>27.099999999999998</v>
      </c>
      <c r="F33" s="28">
        <f t="shared" si="1"/>
        <v>76.599999999999994</v>
      </c>
      <c r="G33" s="27">
        <f t="shared" si="1"/>
        <v>289.86</v>
      </c>
      <c r="H33" s="28">
        <f t="shared" si="1"/>
        <v>0</v>
      </c>
      <c r="I33" s="32">
        <f>SUM(I2:I32)</f>
        <v>721.63000000000011</v>
      </c>
    </row>
  </sheetData>
  <conditionalFormatting sqref="L16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3"/>
  <sheetViews>
    <sheetView workbookViewId="0">
      <selection activeCell="C28" sqref="C28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3" ht="16.5" thickBot="1" x14ac:dyDescent="0.3">
      <c r="A1" s="60" t="s">
        <v>0</v>
      </c>
      <c r="B1" s="30" t="s">
        <v>25</v>
      </c>
      <c r="C1" s="29" t="s">
        <v>26</v>
      </c>
      <c r="D1" s="30" t="s">
        <v>1</v>
      </c>
      <c r="E1" s="30" t="s">
        <v>9</v>
      </c>
      <c r="F1" s="30" t="s">
        <v>2</v>
      </c>
      <c r="G1" s="30" t="s">
        <v>4</v>
      </c>
      <c r="H1" s="31" t="s">
        <v>5</v>
      </c>
      <c r="I1" s="34" t="s">
        <v>3</v>
      </c>
      <c r="J1" s="1"/>
      <c r="K1" s="10" t="s">
        <v>23</v>
      </c>
      <c r="L1" s="92" t="s">
        <v>27</v>
      </c>
    </row>
    <row r="2" spans="1:13" ht="16.5" thickBot="1" x14ac:dyDescent="0.3">
      <c r="A2" s="18">
        <v>1</v>
      </c>
      <c r="B2" s="58"/>
      <c r="C2" s="56"/>
      <c r="D2" s="5"/>
      <c r="E2" s="4"/>
      <c r="F2" s="4"/>
      <c r="G2" s="4"/>
      <c r="H2" s="24"/>
      <c r="I2" s="33">
        <f>SUM(B2:H2)</f>
        <v>0</v>
      </c>
      <c r="J2" s="93"/>
      <c r="K2" s="94">
        <v>217</v>
      </c>
      <c r="L2" s="16">
        <f>M2-K2</f>
        <v>29.449999999999989</v>
      </c>
      <c r="M2">
        <v>246.45</v>
      </c>
    </row>
    <row r="3" spans="1:13" ht="15.75" x14ac:dyDescent="0.25">
      <c r="A3" s="17">
        <v>2</v>
      </c>
      <c r="B3" s="6">
        <v>20</v>
      </c>
      <c r="C3" s="4"/>
      <c r="D3" s="3"/>
      <c r="E3" s="3"/>
      <c r="F3" s="3"/>
      <c r="G3" s="3"/>
      <c r="H3" s="25"/>
      <c r="I3" s="33">
        <f t="shared" ref="I3:I32" si="0">SUM(B3:H3)</f>
        <v>20</v>
      </c>
      <c r="J3" s="89"/>
      <c r="K3" s="90"/>
      <c r="L3" s="91"/>
      <c r="M3" s="79"/>
    </row>
    <row r="4" spans="1:13" ht="15.75" x14ac:dyDescent="0.25">
      <c r="A4" s="17">
        <v>3</v>
      </c>
      <c r="B4" s="6">
        <v>1.8</v>
      </c>
      <c r="C4" s="3"/>
      <c r="D4" s="3"/>
      <c r="E4" s="3"/>
      <c r="F4" s="3"/>
      <c r="G4" s="3"/>
      <c r="H4" s="25"/>
      <c r="I4" s="33">
        <f t="shared" si="0"/>
        <v>1.8</v>
      </c>
      <c r="J4" s="1"/>
      <c r="K4" s="2"/>
      <c r="L4" s="1"/>
    </row>
    <row r="5" spans="1:13" ht="15.75" x14ac:dyDescent="0.25">
      <c r="A5" s="55">
        <v>4</v>
      </c>
      <c r="B5" s="6"/>
      <c r="C5" s="3"/>
      <c r="D5" s="3"/>
      <c r="E5" s="3"/>
      <c r="F5" s="3"/>
      <c r="G5" s="3"/>
      <c r="H5" s="25"/>
      <c r="I5" s="33">
        <f t="shared" si="0"/>
        <v>0</v>
      </c>
      <c r="J5" s="1"/>
      <c r="K5" s="2"/>
      <c r="L5" s="1"/>
    </row>
    <row r="6" spans="1:13" ht="15.75" x14ac:dyDescent="0.25">
      <c r="A6" s="55">
        <v>5</v>
      </c>
      <c r="B6" s="6">
        <v>7.5</v>
      </c>
      <c r="C6" s="3"/>
      <c r="D6" s="3"/>
      <c r="E6" s="3"/>
      <c r="F6" s="3"/>
      <c r="G6" s="3"/>
      <c r="H6" s="25"/>
      <c r="I6" s="33">
        <f t="shared" si="0"/>
        <v>7.5</v>
      </c>
      <c r="J6" s="1"/>
      <c r="K6" s="2"/>
      <c r="L6" s="1"/>
    </row>
    <row r="7" spans="1:13" ht="15.75" x14ac:dyDescent="0.25">
      <c r="A7" s="17">
        <v>6</v>
      </c>
      <c r="B7" s="6"/>
      <c r="C7" s="3"/>
      <c r="D7" s="3"/>
      <c r="E7" s="3"/>
      <c r="F7" s="3"/>
      <c r="G7" s="3"/>
      <c r="H7" s="25"/>
      <c r="I7" s="33">
        <f t="shared" si="0"/>
        <v>0</v>
      </c>
      <c r="J7" s="1"/>
      <c r="K7" s="2"/>
      <c r="L7" s="1"/>
      <c r="M7" s="79"/>
    </row>
    <row r="8" spans="1:13" ht="15.75" x14ac:dyDescent="0.25">
      <c r="A8" s="17">
        <v>7</v>
      </c>
      <c r="B8" s="6">
        <v>9.5</v>
      </c>
      <c r="C8" s="3"/>
      <c r="D8" s="3"/>
      <c r="E8" s="3"/>
      <c r="F8" s="3"/>
      <c r="G8" s="3"/>
      <c r="H8" s="25"/>
      <c r="I8" s="33">
        <f t="shared" si="0"/>
        <v>9.5</v>
      </c>
      <c r="J8" s="1"/>
      <c r="K8" s="2"/>
      <c r="L8" s="1"/>
      <c r="M8" s="79"/>
    </row>
    <row r="9" spans="1:13" ht="15.75" x14ac:dyDescent="0.25">
      <c r="A9" s="17">
        <v>8</v>
      </c>
      <c r="B9" s="6">
        <v>4</v>
      </c>
      <c r="C9" s="3"/>
      <c r="D9" s="3"/>
      <c r="E9" s="3"/>
      <c r="F9" s="3"/>
      <c r="G9" s="3">
        <v>1.8</v>
      </c>
      <c r="H9" s="25"/>
      <c r="I9" s="33">
        <f t="shared" si="0"/>
        <v>5.8</v>
      </c>
      <c r="J9" s="1"/>
      <c r="K9" s="2"/>
      <c r="L9" s="1"/>
      <c r="M9" s="79"/>
    </row>
    <row r="10" spans="1:13" ht="15.75" x14ac:dyDescent="0.25">
      <c r="A10" s="17">
        <v>9</v>
      </c>
      <c r="B10" s="6"/>
      <c r="C10" s="3"/>
      <c r="D10" s="3"/>
      <c r="E10" s="3"/>
      <c r="F10" s="3"/>
      <c r="G10" s="3"/>
      <c r="H10" s="25"/>
      <c r="I10" s="33">
        <f t="shared" si="0"/>
        <v>0</v>
      </c>
      <c r="J10" s="1"/>
      <c r="K10" s="2"/>
      <c r="L10" s="78"/>
      <c r="M10" s="79"/>
    </row>
    <row r="11" spans="1:13" ht="15.75" x14ac:dyDescent="0.25">
      <c r="A11" s="17">
        <v>10</v>
      </c>
      <c r="B11" s="6"/>
      <c r="C11" s="3"/>
      <c r="D11" s="3"/>
      <c r="E11" s="3">
        <v>13.75</v>
      </c>
      <c r="F11" s="3">
        <v>2</v>
      </c>
      <c r="G11" s="3"/>
      <c r="H11" s="25"/>
      <c r="I11" s="33">
        <f t="shared" si="0"/>
        <v>15.75</v>
      </c>
      <c r="J11" s="1"/>
      <c r="K11" s="2"/>
      <c r="L11" s="1"/>
    </row>
    <row r="12" spans="1:13" ht="16.5" thickBot="1" x14ac:dyDescent="0.3">
      <c r="A12" s="55">
        <v>11</v>
      </c>
      <c r="B12" s="6"/>
      <c r="C12" s="3">
        <v>20</v>
      </c>
      <c r="D12" s="3"/>
      <c r="E12" s="3"/>
      <c r="F12" s="3">
        <v>22</v>
      </c>
      <c r="G12" s="3"/>
      <c r="H12" s="25"/>
      <c r="I12" s="33">
        <f t="shared" si="0"/>
        <v>42</v>
      </c>
      <c r="J12" s="1"/>
      <c r="K12" s="2"/>
      <c r="L12" s="1"/>
      <c r="M12" s="79"/>
    </row>
    <row r="13" spans="1:13" ht="16.5" thickBot="1" x14ac:dyDescent="0.3">
      <c r="A13" s="55">
        <v>12</v>
      </c>
      <c r="B13" s="6"/>
      <c r="C13" s="3">
        <v>1.4</v>
      </c>
      <c r="D13" s="3"/>
      <c r="E13" s="3">
        <v>13.5</v>
      </c>
      <c r="F13" s="3"/>
      <c r="G13" s="3"/>
      <c r="H13" s="25"/>
      <c r="I13" s="33">
        <f t="shared" si="0"/>
        <v>14.9</v>
      </c>
      <c r="J13" s="1"/>
      <c r="K13" s="81" t="s">
        <v>6</v>
      </c>
      <c r="L13" s="20">
        <v>1343</v>
      </c>
      <c r="M13" s="80"/>
    </row>
    <row r="14" spans="1:13" ht="15.75" x14ac:dyDescent="0.25">
      <c r="A14" s="17">
        <v>13</v>
      </c>
      <c r="B14" s="6">
        <v>25</v>
      </c>
      <c r="C14" s="3"/>
      <c r="D14" s="3"/>
      <c r="E14" s="3"/>
      <c r="F14" s="3"/>
      <c r="G14" s="3">
        <v>20</v>
      </c>
      <c r="H14" s="25" t="s">
        <v>90</v>
      </c>
      <c r="I14" s="33">
        <f t="shared" si="0"/>
        <v>45</v>
      </c>
      <c r="J14" s="1"/>
      <c r="K14" s="82" t="s">
        <v>7</v>
      </c>
      <c r="L14" s="84">
        <f>SUM(B33:H33)+K2+L2</f>
        <v>618.41000000000008</v>
      </c>
      <c r="M14" s="87">
        <f>L14*100/L13/100</f>
        <v>0.46046909903201794</v>
      </c>
    </row>
    <row r="15" spans="1:13" ht="15.75" x14ac:dyDescent="0.25">
      <c r="A15" s="17">
        <v>14</v>
      </c>
      <c r="B15" s="6"/>
      <c r="C15" s="3">
        <v>11</v>
      </c>
      <c r="D15" s="3"/>
      <c r="E15" s="3"/>
      <c r="F15" s="3"/>
      <c r="G15" s="3"/>
      <c r="H15" s="25" t="s">
        <v>91</v>
      </c>
      <c r="I15" s="33">
        <f t="shared" si="0"/>
        <v>11</v>
      </c>
      <c r="J15" s="1"/>
      <c r="K15" s="13"/>
      <c r="L15" s="85"/>
      <c r="M15" s="86"/>
    </row>
    <row r="16" spans="1:13" ht="16.5" thickBot="1" x14ac:dyDescent="0.3">
      <c r="A16" s="17">
        <v>15</v>
      </c>
      <c r="B16" s="6"/>
      <c r="C16" s="3"/>
      <c r="D16" s="3"/>
      <c r="E16" s="3"/>
      <c r="F16" s="3"/>
      <c r="G16" s="3">
        <v>5.1100000000000003</v>
      </c>
      <c r="H16" s="25" t="s">
        <v>83</v>
      </c>
      <c r="I16" s="33">
        <f t="shared" si="0"/>
        <v>5.1100000000000003</v>
      </c>
      <c r="J16" s="1"/>
      <c r="K16" s="83" t="s">
        <v>8</v>
      </c>
      <c r="L16" s="11">
        <f>L13-L14</f>
        <v>724.58999999999992</v>
      </c>
      <c r="M16" s="88">
        <f>(L16*100/L13)/100</f>
        <v>0.53953090096798195</v>
      </c>
    </row>
    <row r="17" spans="1:12" ht="15.75" x14ac:dyDescent="0.25">
      <c r="A17" s="17">
        <v>16</v>
      </c>
      <c r="B17" s="6"/>
      <c r="C17" s="3"/>
      <c r="D17" s="3"/>
      <c r="E17" s="3"/>
      <c r="F17" s="3"/>
      <c r="G17" s="3"/>
      <c r="H17" s="25"/>
      <c r="I17" s="33">
        <f t="shared" si="0"/>
        <v>0</v>
      </c>
      <c r="J17" s="1"/>
      <c r="K17" s="1"/>
      <c r="L17" s="1"/>
    </row>
    <row r="18" spans="1:12" ht="15.75" x14ac:dyDescent="0.25">
      <c r="A18" s="17">
        <v>17</v>
      </c>
      <c r="B18" s="6"/>
      <c r="C18" s="3">
        <v>10</v>
      </c>
      <c r="D18" s="3"/>
      <c r="E18" s="3"/>
      <c r="F18" s="3"/>
      <c r="G18" s="3"/>
      <c r="H18" s="25"/>
      <c r="I18" s="33">
        <f t="shared" si="0"/>
        <v>10</v>
      </c>
      <c r="J18" s="1"/>
      <c r="K18" s="1"/>
      <c r="L18" s="1"/>
    </row>
    <row r="19" spans="1:12" ht="15.75" x14ac:dyDescent="0.25">
      <c r="A19" s="55">
        <v>18</v>
      </c>
      <c r="B19" s="6"/>
      <c r="C19" s="3"/>
      <c r="D19" s="3"/>
      <c r="E19" s="3"/>
      <c r="F19" s="3">
        <f>6.75+7.5</f>
        <v>14.25</v>
      </c>
      <c r="G19" s="3"/>
      <c r="H19" s="25"/>
      <c r="I19" s="33">
        <f t="shared" si="0"/>
        <v>14.25</v>
      </c>
      <c r="J19" s="1"/>
      <c r="K19" s="1"/>
      <c r="L19" s="1"/>
    </row>
    <row r="20" spans="1:12" ht="15.75" x14ac:dyDescent="0.25">
      <c r="A20" s="55">
        <v>19</v>
      </c>
      <c r="B20" s="6">
        <v>8</v>
      </c>
      <c r="C20" s="3"/>
      <c r="D20" s="3">
        <v>20</v>
      </c>
      <c r="E20" s="3"/>
      <c r="F20" s="3"/>
      <c r="G20" s="3">
        <v>7.5</v>
      </c>
      <c r="H20" s="25" t="s">
        <v>92</v>
      </c>
      <c r="I20" s="33">
        <f t="shared" si="0"/>
        <v>35.5</v>
      </c>
      <c r="J20" s="1"/>
      <c r="K20" s="1"/>
      <c r="L20" s="1"/>
    </row>
    <row r="21" spans="1:12" ht="15.75" x14ac:dyDescent="0.25">
      <c r="A21" s="17">
        <v>20</v>
      </c>
      <c r="B21" s="6">
        <v>8.1999999999999993</v>
      </c>
      <c r="C21" s="3"/>
      <c r="D21" s="3"/>
      <c r="E21" s="3"/>
      <c r="F21" s="3"/>
      <c r="G21" s="3"/>
      <c r="H21" s="25"/>
      <c r="I21" s="33">
        <f t="shared" si="0"/>
        <v>8.1999999999999993</v>
      </c>
      <c r="J21" s="1"/>
      <c r="K21" s="1"/>
      <c r="L21" s="1"/>
    </row>
    <row r="22" spans="1:12" ht="15.75" x14ac:dyDescent="0.25">
      <c r="A22" s="17">
        <v>21</v>
      </c>
      <c r="B22" s="6"/>
      <c r="C22" s="3"/>
      <c r="D22" s="3"/>
      <c r="E22" s="3"/>
      <c r="F22" s="3"/>
      <c r="G22" s="3"/>
      <c r="H22" s="25"/>
      <c r="I22" s="33">
        <f t="shared" si="0"/>
        <v>0</v>
      </c>
      <c r="J22" s="1"/>
      <c r="K22" s="1"/>
      <c r="L22" s="1"/>
    </row>
    <row r="23" spans="1:12" ht="15.75" x14ac:dyDescent="0.25">
      <c r="A23" s="17">
        <v>22</v>
      </c>
      <c r="B23" s="6"/>
      <c r="C23" s="3"/>
      <c r="D23" s="3"/>
      <c r="E23" s="3"/>
      <c r="F23" s="3"/>
      <c r="G23" s="3"/>
      <c r="H23" s="25"/>
      <c r="I23" s="33">
        <f t="shared" si="0"/>
        <v>0</v>
      </c>
      <c r="J23" s="1"/>
      <c r="K23" s="1"/>
      <c r="L23" s="1"/>
    </row>
    <row r="24" spans="1:12" ht="15.75" x14ac:dyDescent="0.25">
      <c r="A24" s="17">
        <v>23</v>
      </c>
      <c r="B24" s="6"/>
      <c r="C24" s="3">
        <v>25</v>
      </c>
      <c r="D24" s="3"/>
      <c r="E24" s="3"/>
      <c r="F24" s="3"/>
      <c r="G24" s="3"/>
      <c r="H24" s="25"/>
      <c r="I24" s="33">
        <f t="shared" si="0"/>
        <v>25</v>
      </c>
      <c r="J24" s="1"/>
      <c r="K24" s="1"/>
      <c r="L24" s="1"/>
    </row>
    <row r="25" spans="1:12" ht="15.75" x14ac:dyDescent="0.25">
      <c r="A25" s="17">
        <v>24</v>
      </c>
      <c r="B25" s="6"/>
      <c r="C25" s="3">
        <v>11</v>
      </c>
      <c r="D25" s="3"/>
      <c r="E25" s="3">
        <v>12.75</v>
      </c>
      <c r="F25" s="3">
        <v>13</v>
      </c>
      <c r="G25" s="3"/>
      <c r="H25" s="25"/>
      <c r="I25" s="33">
        <f t="shared" si="0"/>
        <v>36.75</v>
      </c>
      <c r="J25" s="1"/>
      <c r="K25" s="1"/>
      <c r="L25" s="1"/>
    </row>
    <row r="26" spans="1:12" ht="15.75" x14ac:dyDescent="0.25">
      <c r="A26" s="55">
        <v>25</v>
      </c>
      <c r="B26" s="6"/>
      <c r="C26" s="3">
        <v>4</v>
      </c>
      <c r="D26" s="3"/>
      <c r="E26" s="3"/>
      <c r="F26" s="3"/>
      <c r="G26" s="3"/>
      <c r="H26" s="25"/>
      <c r="I26" s="33">
        <f t="shared" si="0"/>
        <v>4</v>
      </c>
      <c r="J26" s="1"/>
      <c r="K26" s="1"/>
      <c r="L26" s="1"/>
    </row>
    <row r="27" spans="1:12" ht="15.75" x14ac:dyDescent="0.25">
      <c r="A27" s="55">
        <v>26</v>
      </c>
      <c r="B27" s="6"/>
      <c r="C27" s="3"/>
      <c r="D27" s="3"/>
      <c r="E27" s="3">
        <v>13.5</v>
      </c>
      <c r="F27" s="3">
        <v>5</v>
      </c>
      <c r="G27" s="3"/>
      <c r="H27" s="25"/>
      <c r="I27" s="33">
        <f t="shared" si="0"/>
        <v>18.5</v>
      </c>
      <c r="J27" s="1"/>
      <c r="K27" s="1"/>
      <c r="L27" s="1"/>
    </row>
    <row r="28" spans="1:12" ht="15.75" x14ac:dyDescent="0.25">
      <c r="A28" s="17">
        <v>27</v>
      </c>
      <c r="B28" s="6"/>
      <c r="C28" s="3"/>
      <c r="D28" s="3"/>
      <c r="E28" s="3"/>
      <c r="F28" s="3"/>
      <c r="G28" s="3"/>
      <c r="H28" s="25"/>
      <c r="I28" s="33">
        <f t="shared" si="0"/>
        <v>0</v>
      </c>
      <c r="J28" s="1"/>
      <c r="K28" s="1"/>
      <c r="L28" s="1"/>
    </row>
    <row r="29" spans="1:12" ht="15.75" x14ac:dyDescent="0.25">
      <c r="A29" s="17">
        <v>28</v>
      </c>
      <c r="B29" s="6">
        <v>33.4</v>
      </c>
      <c r="C29" s="3"/>
      <c r="D29" s="3"/>
      <c r="E29" s="3"/>
      <c r="F29" s="3"/>
      <c r="G29" s="3"/>
      <c r="H29" s="25"/>
      <c r="I29" s="33">
        <f t="shared" si="0"/>
        <v>33.4</v>
      </c>
      <c r="J29" s="1"/>
      <c r="K29" s="1"/>
      <c r="L29" s="1"/>
    </row>
    <row r="30" spans="1:12" ht="15.75" x14ac:dyDescent="0.25">
      <c r="A30" s="17">
        <v>29</v>
      </c>
      <c r="B30" s="6"/>
      <c r="C30" s="3"/>
      <c r="D30" s="3"/>
      <c r="E30" s="3"/>
      <c r="F30" s="3"/>
      <c r="G30" s="3">
        <v>8</v>
      </c>
      <c r="H30" s="25" t="s">
        <v>95</v>
      </c>
      <c r="I30" s="33">
        <f t="shared" si="0"/>
        <v>8</v>
      </c>
      <c r="J30" s="1"/>
      <c r="K30" s="1"/>
      <c r="L30" s="1"/>
    </row>
    <row r="31" spans="1:12" ht="15.75" x14ac:dyDescent="0.25">
      <c r="A31" s="17">
        <v>30</v>
      </c>
      <c r="B31" s="6"/>
      <c r="C31" s="3"/>
      <c r="D31" s="3"/>
      <c r="E31" s="3"/>
      <c r="F31" s="3"/>
      <c r="G31" s="3"/>
      <c r="H31" s="25"/>
      <c r="I31" s="33">
        <f t="shared" si="0"/>
        <v>0</v>
      </c>
      <c r="J31" s="1"/>
      <c r="K31" s="1"/>
      <c r="L31" s="1"/>
    </row>
    <row r="32" spans="1:12" ht="16.5" thickBot="1" x14ac:dyDescent="0.3">
      <c r="A32" s="63">
        <v>31</v>
      </c>
      <c r="B32" s="68"/>
      <c r="C32" s="69"/>
      <c r="D32" s="69"/>
      <c r="E32" s="69"/>
      <c r="F32" s="69"/>
      <c r="G32" s="69"/>
      <c r="H32" s="70"/>
      <c r="I32" s="73">
        <f t="shared" si="0"/>
        <v>0</v>
      </c>
      <c r="J32" s="1"/>
      <c r="K32" s="1"/>
      <c r="L32" s="1"/>
    </row>
    <row r="33" spans="1:9" ht="16.5" thickBot="1" x14ac:dyDescent="0.3">
      <c r="A33" s="9" t="s">
        <v>3</v>
      </c>
      <c r="B33" s="27">
        <f>SUM(B2:B32)</f>
        <v>117.4</v>
      </c>
      <c r="C33" s="28">
        <f>SUM(C2:C32)</f>
        <v>82.4</v>
      </c>
      <c r="D33" s="27">
        <f t="shared" ref="D33:H33" si="1">SUM(D2:D32)</f>
        <v>20</v>
      </c>
      <c r="E33" s="28">
        <f t="shared" si="1"/>
        <v>53.5</v>
      </c>
      <c r="F33" s="28">
        <f t="shared" si="1"/>
        <v>56.25</v>
      </c>
      <c r="G33" s="27">
        <f t="shared" si="1"/>
        <v>42.41</v>
      </c>
      <c r="H33" s="28">
        <f t="shared" si="1"/>
        <v>0</v>
      </c>
      <c r="I33" s="32">
        <f>SUM(I2:I32)</f>
        <v>371.96</v>
      </c>
    </row>
  </sheetData>
  <conditionalFormatting sqref="L16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3"/>
  <sheetViews>
    <sheetView topLeftCell="A12" workbookViewId="0">
      <selection activeCell="H39" sqref="H39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3" ht="16.5" thickBot="1" x14ac:dyDescent="0.3">
      <c r="A1" s="60" t="s">
        <v>0</v>
      </c>
      <c r="B1" s="30" t="s">
        <v>25</v>
      </c>
      <c r="C1" s="29" t="s">
        <v>26</v>
      </c>
      <c r="D1" s="30" t="s">
        <v>1</v>
      </c>
      <c r="E1" s="30" t="s">
        <v>9</v>
      </c>
      <c r="F1" s="30" t="s">
        <v>2</v>
      </c>
      <c r="G1" s="30" t="s">
        <v>4</v>
      </c>
      <c r="H1" s="31" t="s">
        <v>5</v>
      </c>
      <c r="I1" s="34" t="s">
        <v>3</v>
      </c>
      <c r="J1" s="1"/>
      <c r="K1" s="10" t="s">
        <v>23</v>
      </c>
      <c r="L1" s="92" t="s">
        <v>27</v>
      </c>
    </row>
    <row r="2" spans="1:13" ht="16.5" thickBot="1" x14ac:dyDescent="0.3">
      <c r="A2" s="18">
        <v>1</v>
      </c>
      <c r="B2" s="58"/>
      <c r="C2" s="56"/>
      <c r="D2" s="5"/>
      <c r="E2" s="4"/>
      <c r="F2" s="4"/>
      <c r="G2" s="4"/>
      <c r="H2" s="24"/>
      <c r="I2" s="33">
        <f>SUM(B2:H2)</f>
        <v>0</v>
      </c>
      <c r="J2" s="93"/>
      <c r="K2" s="94">
        <v>217</v>
      </c>
      <c r="L2" s="16">
        <f>M2-K2</f>
        <v>37.009999999999991</v>
      </c>
      <c r="M2">
        <v>254.01</v>
      </c>
    </row>
    <row r="3" spans="1:13" ht="15.75" x14ac:dyDescent="0.25">
      <c r="A3" s="55">
        <v>2</v>
      </c>
      <c r="B3" s="6"/>
      <c r="C3" s="4"/>
      <c r="D3" s="3"/>
      <c r="E3" s="3"/>
      <c r="F3" s="3"/>
      <c r="G3" s="3"/>
      <c r="H3" s="25"/>
      <c r="I3" s="33">
        <f t="shared" ref="I3:I32" si="0">SUM(B3:H3)</f>
        <v>0</v>
      </c>
      <c r="J3" s="89"/>
      <c r="K3" s="90"/>
      <c r="L3" s="91"/>
      <c r="M3" s="79"/>
    </row>
    <row r="4" spans="1:13" ht="15.75" x14ac:dyDescent="0.25">
      <c r="A4" s="55">
        <v>3</v>
      </c>
      <c r="B4" s="6"/>
      <c r="C4" s="3">
        <v>5</v>
      </c>
      <c r="D4" s="3">
        <v>40</v>
      </c>
      <c r="E4" s="3"/>
      <c r="F4" s="3">
        <v>3.3</v>
      </c>
      <c r="G4" s="3">
        <v>8</v>
      </c>
      <c r="H4" s="25"/>
      <c r="I4" s="33">
        <f t="shared" si="0"/>
        <v>56.3</v>
      </c>
      <c r="J4" s="1"/>
      <c r="K4" s="2"/>
      <c r="L4" s="1"/>
    </row>
    <row r="5" spans="1:13" ht="15.75" x14ac:dyDescent="0.25">
      <c r="A5" s="17">
        <v>4</v>
      </c>
      <c r="B5" s="6"/>
      <c r="C5" s="3"/>
      <c r="D5" s="3"/>
      <c r="E5" s="3"/>
      <c r="F5" s="3"/>
      <c r="G5" s="3"/>
      <c r="H5" s="25"/>
      <c r="I5" s="33">
        <f t="shared" si="0"/>
        <v>0</v>
      </c>
      <c r="J5" s="1"/>
      <c r="K5" s="2"/>
      <c r="L5" s="1"/>
    </row>
    <row r="6" spans="1:13" ht="15.75" x14ac:dyDescent="0.25">
      <c r="A6" s="17">
        <v>5</v>
      </c>
      <c r="B6" s="6"/>
      <c r="C6" s="3"/>
      <c r="D6" s="3"/>
      <c r="E6" s="3"/>
      <c r="F6" s="3"/>
      <c r="G6" s="3"/>
      <c r="H6" s="25"/>
      <c r="I6" s="33">
        <f t="shared" si="0"/>
        <v>0</v>
      </c>
      <c r="J6" s="1"/>
      <c r="K6" s="2"/>
      <c r="L6" s="1"/>
    </row>
    <row r="7" spans="1:13" ht="15.75" x14ac:dyDescent="0.25">
      <c r="A7" s="17">
        <v>6</v>
      </c>
      <c r="B7" s="6"/>
      <c r="C7" s="3"/>
      <c r="D7" s="3"/>
      <c r="E7" s="3"/>
      <c r="F7" s="3"/>
      <c r="G7" s="3"/>
      <c r="H7" s="25"/>
      <c r="I7" s="33">
        <f t="shared" si="0"/>
        <v>0</v>
      </c>
      <c r="J7" s="1"/>
      <c r="K7" s="2"/>
      <c r="L7" s="1"/>
      <c r="M7" s="79"/>
    </row>
    <row r="8" spans="1:13" ht="15.75" x14ac:dyDescent="0.25">
      <c r="A8" s="17">
        <v>7</v>
      </c>
      <c r="B8" s="6"/>
      <c r="C8" s="3"/>
      <c r="D8" s="3"/>
      <c r="E8" s="3"/>
      <c r="F8" s="3"/>
      <c r="G8" s="3"/>
      <c r="H8" s="25"/>
      <c r="I8" s="33">
        <f t="shared" si="0"/>
        <v>0</v>
      </c>
      <c r="J8" s="1"/>
      <c r="K8" s="2"/>
      <c r="L8" s="1"/>
      <c r="M8" s="79"/>
    </row>
    <row r="9" spans="1:13" ht="15.75" x14ac:dyDescent="0.25">
      <c r="A9" s="17">
        <v>8</v>
      </c>
      <c r="B9" s="6"/>
      <c r="C9" s="3">
        <v>17.329999999999998</v>
      </c>
      <c r="D9" s="3"/>
      <c r="E9" s="3">
        <f>10+3.5</f>
        <v>13.5</v>
      </c>
      <c r="F9" s="3">
        <f>33+10+15</f>
        <v>58</v>
      </c>
      <c r="G9" s="3"/>
      <c r="H9" s="25"/>
      <c r="I9" s="33">
        <f t="shared" si="0"/>
        <v>88.83</v>
      </c>
      <c r="J9" s="1"/>
      <c r="K9" s="2"/>
      <c r="L9" s="1"/>
      <c r="M9" s="79"/>
    </row>
    <row r="10" spans="1:13" ht="15.75" x14ac:dyDescent="0.25">
      <c r="A10" s="55">
        <v>9</v>
      </c>
      <c r="B10" s="6"/>
      <c r="C10" s="3">
        <v>10.8</v>
      </c>
      <c r="D10" s="3"/>
      <c r="E10" s="3"/>
      <c r="F10" s="3">
        <v>6</v>
      </c>
      <c r="G10" s="3">
        <v>13</v>
      </c>
      <c r="H10" s="25"/>
      <c r="I10" s="33">
        <f t="shared" si="0"/>
        <v>29.8</v>
      </c>
      <c r="J10" s="1"/>
      <c r="K10" s="2"/>
      <c r="L10" s="78"/>
      <c r="M10" s="79"/>
    </row>
    <row r="11" spans="1:13" ht="15.75" x14ac:dyDescent="0.25">
      <c r="A11" s="55">
        <v>10</v>
      </c>
      <c r="B11" s="6"/>
      <c r="C11" s="3"/>
      <c r="D11" s="3"/>
      <c r="E11" s="3"/>
      <c r="F11" s="3"/>
      <c r="G11" s="3"/>
      <c r="H11" s="25"/>
      <c r="I11" s="33">
        <f t="shared" si="0"/>
        <v>0</v>
      </c>
      <c r="J11" s="1"/>
      <c r="K11" s="2"/>
      <c r="L11" s="1"/>
    </row>
    <row r="12" spans="1:13" ht="16.5" thickBot="1" x14ac:dyDescent="0.3">
      <c r="A12" s="17">
        <v>11</v>
      </c>
      <c r="B12" s="6"/>
      <c r="C12" s="3"/>
      <c r="D12" s="3"/>
      <c r="E12" s="3"/>
      <c r="F12" s="3"/>
      <c r="G12" s="3"/>
      <c r="H12" s="25" t="s">
        <v>96</v>
      </c>
      <c r="I12" s="33">
        <f t="shared" si="0"/>
        <v>0</v>
      </c>
      <c r="J12" s="1"/>
      <c r="K12" s="2"/>
      <c r="L12" s="1"/>
      <c r="M12" s="79"/>
    </row>
    <row r="13" spans="1:13" ht="16.5" thickBot="1" x14ac:dyDescent="0.3">
      <c r="A13" s="17">
        <v>12</v>
      </c>
      <c r="B13" s="6"/>
      <c r="C13" s="3"/>
      <c r="D13" s="3"/>
      <c r="E13" s="3"/>
      <c r="F13" s="3"/>
      <c r="G13" s="3"/>
      <c r="H13" s="25"/>
      <c r="I13" s="33">
        <f t="shared" si="0"/>
        <v>0</v>
      </c>
      <c r="J13" s="1"/>
      <c r="K13" s="81" t="s">
        <v>6</v>
      </c>
      <c r="L13" s="20">
        <v>990</v>
      </c>
      <c r="M13" s="80"/>
    </row>
    <row r="14" spans="1:13" ht="15.75" x14ac:dyDescent="0.25">
      <c r="A14" s="17">
        <v>13</v>
      </c>
      <c r="B14" s="6"/>
      <c r="C14" s="3"/>
      <c r="D14" s="3"/>
      <c r="E14" s="3"/>
      <c r="F14" s="3"/>
      <c r="G14" s="3"/>
      <c r="H14" s="25"/>
      <c r="I14" s="33">
        <f t="shared" si="0"/>
        <v>0</v>
      </c>
      <c r="J14" s="1"/>
      <c r="K14" s="82" t="s">
        <v>7</v>
      </c>
      <c r="L14" s="84">
        <f>SUM(B33:H33)+K2+L2</f>
        <v>745.09999999999991</v>
      </c>
      <c r="M14" s="87">
        <f>L14*100/L13/100</f>
        <v>0.75262626262626242</v>
      </c>
    </row>
    <row r="15" spans="1:13" ht="15.75" x14ac:dyDescent="0.25">
      <c r="A15" s="17">
        <v>14</v>
      </c>
      <c r="B15" s="6"/>
      <c r="C15" s="3"/>
      <c r="D15" s="3"/>
      <c r="E15" s="3"/>
      <c r="F15" s="3"/>
      <c r="G15" s="3"/>
      <c r="H15" s="25"/>
      <c r="I15" s="33">
        <f t="shared" si="0"/>
        <v>0</v>
      </c>
      <c r="J15" s="1"/>
      <c r="K15" s="13"/>
      <c r="L15" s="85"/>
      <c r="M15" s="86"/>
    </row>
    <row r="16" spans="1:13" ht="16.5" thickBot="1" x14ac:dyDescent="0.3">
      <c r="A16" s="17">
        <v>15</v>
      </c>
      <c r="B16" s="6"/>
      <c r="C16" s="3"/>
      <c r="D16" s="3"/>
      <c r="E16" s="3"/>
      <c r="F16" s="3"/>
      <c r="G16" s="3"/>
      <c r="H16" s="25"/>
      <c r="I16" s="33">
        <f t="shared" si="0"/>
        <v>0</v>
      </c>
      <c r="J16" s="1"/>
      <c r="K16" s="83" t="s">
        <v>8</v>
      </c>
      <c r="L16" s="11">
        <f>L13-L14</f>
        <v>244.90000000000009</v>
      </c>
      <c r="M16" s="88">
        <f>(L16*100/L13)/100</f>
        <v>0.24737373737373744</v>
      </c>
    </row>
    <row r="17" spans="1:12" ht="15.75" x14ac:dyDescent="0.25">
      <c r="A17" s="55">
        <v>16</v>
      </c>
      <c r="B17" s="6">
        <v>33.11</v>
      </c>
      <c r="C17" s="3"/>
      <c r="D17" s="3"/>
      <c r="E17" s="3"/>
      <c r="F17" s="3"/>
      <c r="G17" s="3"/>
      <c r="H17" s="25"/>
      <c r="I17" s="33">
        <f t="shared" si="0"/>
        <v>33.11</v>
      </c>
      <c r="J17" s="1"/>
      <c r="K17" s="1"/>
      <c r="L17" s="1"/>
    </row>
    <row r="18" spans="1:12" ht="15.75" x14ac:dyDescent="0.25">
      <c r="A18" s="55">
        <v>17</v>
      </c>
      <c r="B18" s="6"/>
      <c r="C18" s="3"/>
      <c r="D18" s="3"/>
      <c r="E18" s="3"/>
      <c r="F18" s="3"/>
      <c r="G18" s="3"/>
      <c r="H18" s="25"/>
      <c r="I18" s="33">
        <f t="shared" si="0"/>
        <v>0</v>
      </c>
      <c r="J18" s="1"/>
      <c r="K18" s="1"/>
      <c r="L18" s="1"/>
    </row>
    <row r="19" spans="1:12" ht="15.75" x14ac:dyDescent="0.25">
      <c r="A19" s="17">
        <v>18</v>
      </c>
      <c r="B19" s="6"/>
      <c r="C19" s="3"/>
      <c r="D19" s="3"/>
      <c r="E19" s="3"/>
      <c r="F19" s="3"/>
      <c r="G19" s="3"/>
      <c r="H19" s="25"/>
      <c r="I19" s="33">
        <f t="shared" si="0"/>
        <v>0</v>
      </c>
      <c r="J19" s="1"/>
      <c r="K19" s="1"/>
      <c r="L19" s="1"/>
    </row>
    <row r="20" spans="1:12" ht="15.75" x14ac:dyDescent="0.25">
      <c r="A20" s="17">
        <v>19</v>
      </c>
      <c r="B20" s="6"/>
      <c r="C20" s="3">
        <v>8</v>
      </c>
      <c r="D20" s="3"/>
      <c r="E20" s="3"/>
      <c r="F20" s="3"/>
      <c r="G20" s="3"/>
      <c r="H20" s="25" t="s">
        <v>38</v>
      </c>
      <c r="I20" s="33">
        <f t="shared" si="0"/>
        <v>8</v>
      </c>
      <c r="J20" s="1"/>
      <c r="K20" s="1"/>
      <c r="L20" s="1"/>
    </row>
    <row r="21" spans="1:12" ht="15.75" x14ac:dyDescent="0.25">
      <c r="A21" s="17">
        <v>20</v>
      </c>
      <c r="B21" s="6"/>
      <c r="C21" s="3"/>
      <c r="D21" s="3"/>
      <c r="E21" s="3"/>
      <c r="F21" s="3"/>
      <c r="G21" s="3"/>
      <c r="H21" s="25"/>
      <c r="I21" s="33">
        <f t="shared" si="0"/>
        <v>0</v>
      </c>
      <c r="J21" s="1"/>
      <c r="K21" s="1"/>
      <c r="L21" s="1"/>
    </row>
    <row r="22" spans="1:12" ht="15.75" x14ac:dyDescent="0.25">
      <c r="A22" s="17">
        <v>21</v>
      </c>
      <c r="B22" s="6"/>
      <c r="C22" s="3"/>
      <c r="D22" s="3"/>
      <c r="E22" s="3"/>
      <c r="F22" s="3"/>
      <c r="G22" s="3"/>
      <c r="H22" s="25"/>
      <c r="I22" s="33">
        <f t="shared" si="0"/>
        <v>0</v>
      </c>
      <c r="J22" s="1"/>
      <c r="K22" s="1"/>
      <c r="L22" s="1"/>
    </row>
    <row r="23" spans="1:12" ht="15.75" x14ac:dyDescent="0.25">
      <c r="A23" s="17">
        <v>22</v>
      </c>
      <c r="B23" s="6"/>
      <c r="C23" s="3"/>
      <c r="D23" s="3"/>
      <c r="E23" s="3">
        <v>12.75</v>
      </c>
      <c r="F23" s="3">
        <v>5</v>
      </c>
      <c r="G23" s="3">
        <v>3</v>
      </c>
      <c r="H23" s="25"/>
      <c r="I23" s="33">
        <f t="shared" si="0"/>
        <v>20.75</v>
      </c>
      <c r="J23" s="1"/>
      <c r="K23" s="1"/>
      <c r="L23" s="1"/>
    </row>
    <row r="24" spans="1:12" ht="15.75" x14ac:dyDescent="0.25">
      <c r="A24" s="55">
        <v>23</v>
      </c>
      <c r="B24" s="6"/>
      <c r="C24" s="3"/>
      <c r="D24" s="3"/>
      <c r="E24" s="3"/>
      <c r="F24" s="3">
        <v>5</v>
      </c>
      <c r="G24" s="3"/>
      <c r="H24" s="25"/>
      <c r="I24" s="33">
        <f t="shared" si="0"/>
        <v>5</v>
      </c>
      <c r="J24" s="1"/>
      <c r="K24" s="1"/>
      <c r="L24" s="1"/>
    </row>
    <row r="25" spans="1:12" ht="15.75" x14ac:dyDescent="0.25">
      <c r="A25" s="55">
        <v>24</v>
      </c>
      <c r="B25" s="6"/>
      <c r="C25" s="3">
        <v>2.4</v>
      </c>
      <c r="D25" s="3"/>
      <c r="E25" s="3">
        <v>13.5</v>
      </c>
      <c r="F25" s="3"/>
      <c r="G25" s="3"/>
      <c r="H25" s="25"/>
      <c r="I25" s="33">
        <f t="shared" si="0"/>
        <v>15.9</v>
      </c>
      <c r="J25" s="1"/>
      <c r="K25" s="1"/>
      <c r="L25" s="1"/>
    </row>
    <row r="26" spans="1:12" ht="15.75" x14ac:dyDescent="0.25">
      <c r="A26" s="17">
        <v>25</v>
      </c>
      <c r="B26" s="6"/>
      <c r="C26" s="3"/>
      <c r="D26" s="3"/>
      <c r="E26" s="3"/>
      <c r="F26" s="3"/>
      <c r="G26" s="3">
        <f>64+8</f>
        <v>72</v>
      </c>
      <c r="H26" s="25" t="s">
        <v>97</v>
      </c>
      <c r="I26" s="33">
        <f t="shared" si="0"/>
        <v>72</v>
      </c>
      <c r="J26" s="1"/>
      <c r="K26" s="1"/>
      <c r="L26" s="1"/>
    </row>
    <row r="27" spans="1:12" ht="15.75" x14ac:dyDescent="0.25">
      <c r="A27" s="17">
        <v>26</v>
      </c>
      <c r="B27" s="6"/>
      <c r="C27" s="3"/>
      <c r="D27" s="3"/>
      <c r="E27" s="3"/>
      <c r="F27" s="3"/>
      <c r="G27" s="3"/>
      <c r="H27" s="25"/>
      <c r="I27" s="33">
        <f t="shared" si="0"/>
        <v>0</v>
      </c>
      <c r="J27" s="1"/>
      <c r="K27" s="1"/>
      <c r="L27" s="1"/>
    </row>
    <row r="28" spans="1:12" ht="15.75" x14ac:dyDescent="0.25">
      <c r="A28" s="17">
        <v>27</v>
      </c>
      <c r="B28" s="6"/>
      <c r="C28" s="3"/>
      <c r="D28" s="3"/>
      <c r="E28" s="3">
        <v>11.4</v>
      </c>
      <c r="F28" s="3"/>
      <c r="G28" s="3"/>
      <c r="H28" s="25"/>
      <c r="I28" s="33">
        <f t="shared" si="0"/>
        <v>11.4</v>
      </c>
      <c r="J28" s="1"/>
      <c r="K28" s="1"/>
      <c r="L28" s="1"/>
    </row>
    <row r="29" spans="1:12" ht="15.75" x14ac:dyDescent="0.25">
      <c r="A29" s="17">
        <v>28</v>
      </c>
      <c r="B29" s="6"/>
      <c r="C29" s="3"/>
      <c r="D29" s="3"/>
      <c r="E29" s="3"/>
      <c r="F29" s="3"/>
      <c r="G29" s="3"/>
      <c r="H29" s="25"/>
      <c r="I29" s="33">
        <f t="shared" si="0"/>
        <v>0</v>
      </c>
      <c r="J29" s="1"/>
      <c r="K29" s="1"/>
      <c r="L29" s="1"/>
    </row>
    <row r="30" spans="1:12" ht="15.75" x14ac:dyDescent="0.25">
      <c r="A30" s="17">
        <v>29</v>
      </c>
      <c r="B30" s="6"/>
      <c r="C30" s="3"/>
      <c r="D30" s="3"/>
      <c r="E30" s="3"/>
      <c r="F30" s="3"/>
      <c r="G30" s="3">
        <v>65</v>
      </c>
      <c r="H30" s="25" t="s">
        <v>98</v>
      </c>
      <c r="I30" s="33">
        <f t="shared" si="0"/>
        <v>65</v>
      </c>
      <c r="J30" s="1"/>
      <c r="K30" s="1"/>
      <c r="L30" s="1"/>
    </row>
    <row r="31" spans="1:12" ht="15.75" x14ac:dyDescent="0.25">
      <c r="A31" s="55">
        <v>30</v>
      </c>
      <c r="B31" s="6"/>
      <c r="C31" s="3"/>
      <c r="D31" s="3">
        <v>40</v>
      </c>
      <c r="E31" s="3"/>
      <c r="F31" s="3"/>
      <c r="G31" s="3"/>
      <c r="H31" s="25"/>
      <c r="I31" s="33">
        <f t="shared" si="0"/>
        <v>40</v>
      </c>
      <c r="J31" s="1"/>
      <c r="K31" s="1"/>
      <c r="L31" s="1"/>
    </row>
    <row r="32" spans="1:12" ht="16.5" thickBot="1" x14ac:dyDescent="0.3">
      <c r="A32" s="55">
        <v>31</v>
      </c>
      <c r="B32" s="7"/>
      <c r="C32" s="8">
        <v>20</v>
      </c>
      <c r="D32" s="8"/>
      <c r="E32" s="8"/>
      <c r="F32" s="8">
        <v>25</v>
      </c>
      <c r="G32" s="8"/>
      <c r="H32" s="26"/>
      <c r="I32" s="33">
        <f t="shared" si="0"/>
        <v>45</v>
      </c>
      <c r="J32" s="1"/>
      <c r="K32" s="1"/>
      <c r="L32" s="1"/>
    </row>
    <row r="33" spans="1:9" ht="16.5" thickBot="1" x14ac:dyDescent="0.3">
      <c r="A33" s="9" t="s">
        <v>3</v>
      </c>
      <c r="B33" s="27">
        <f>SUM(B2:B32)</f>
        <v>33.11</v>
      </c>
      <c r="C33" s="28">
        <f>SUM(C2:C32)</f>
        <v>63.529999999999994</v>
      </c>
      <c r="D33" s="27">
        <f t="shared" ref="D33:H33" si="1">SUM(D2:D32)</f>
        <v>80</v>
      </c>
      <c r="E33" s="28">
        <f t="shared" si="1"/>
        <v>51.15</v>
      </c>
      <c r="F33" s="28">
        <f t="shared" si="1"/>
        <v>102.3</v>
      </c>
      <c r="G33" s="27">
        <f t="shared" si="1"/>
        <v>161</v>
      </c>
      <c r="H33" s="28">
        <f t="shared" si="1"/>
        <v>0</v>
      </c>
      <c r="I33" s="32">
        <f>SUM(I2:I32)</f>
        <v>491.09</v>
      </c>
    </row>
  </sheetData>
  <conditionalFormatting sqref="L16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3"/>
  <sheetViews>
    <sheetView workbookViewId="0">
      <selection activeCell="C6" sqref="C6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3" ht="16.5" thickBot="1" x14ac:dyDescent="0.3">
      <c r="A1" s="60" t="s">
        <v>0</v>
      </c>
      <c r="B1" s="30" t="s">
        <v>25</v>
      </c>
      <c r="C1" s="29" t="s">
        <v>26</v>
      </c>
      <c r="D1" s="30" t="s">
        <v>1</v>
      </c>
      <c r="E1" s="30" t="s">
        <v>9</v>
      </c>
      <c r="F1" s="30" t="s">
        <v>2</v>
      </c>
      <c r="G1" s="30" t="s">
        <v>4</v>
      </c>
      <c r="H1" s="31" t="s">
        <v>5</v>
      </c>
      <c r="I1" s="34" t="s">
        <v>3</v>
      </c>
      <c r="J1" s="1"/>
      <c r="K1" s="10" t="s">
        <v>23</v>
      </c>
      <c r="L1" s="92" t="s">
        <v>27</v>
      </c>
    </row>
    <row r="2" spans="1:13" ht="16.5" thickBot="1" x14ac:dyDescent="0.3">
      <c r="A2" s="17">
        <v>1</v>
      </c>
      <c r="B2" s="58"/>
      <c r="C2" s="56"/>
      <c r="D2" s="5"/>
      <c r="E2" s="4">
        <v>11.4</v>
      </c>
      <c r="F2" s="4"/>
      <c r="G2" s="4"/>
      <c r="H2" s="24"/>
      <c r="I2" s="33">
        <f>SUM(B2:H2)</f>
        <v>11.4</v>
      </c>
      <c r="J2" s="93"/>
      <c r="K2" s="94">
        <v>217</v>
      </c>
      <c r="L2" s="16">
        <f>M2-K2</f>
        <v>32</v>
      </c>
      <c r="M2">
        <v>249</v>
      </c>
    </row>
    <row r="3" spans="1:13" ht="15.75" x14ac:dyDescent="0.25">
      <c r="A3" s="17">
        <v>2</v>
      </c>
      <c r="B3" s="6">
        <v>19.88</v>
      </c>
      <c r="C3" s="4"/>
      <c r="D3" s="3"/>
      <c r="E3" s="3"/>
      <c r="F3" s="3"/>
      <c r="G3" s="3"/>
      <c r="H3" s="25"/>
      <c r="I3" s="33">
        <f t="shared" ref="I3:I32" si="0">SUM(B3:H3)</f>
        <v>19.88</v>
      </c>
      <c r="J3" s="89"/>
      <c r="K3" s="90"/>
      <c r="L3" s="91"/>
      <c r="M3" s="79"/>
    </row>
    <row r="4" spans="1:13" ht="15.75" x14ac:dyDescent="0.25">
      <c r="A4" s="17">
        <v>3</v>
      </c>
      <c r="B4" s="6"/>
      <c r="C4" s="3"/>
      <c r="D4" s="3"/>
      <c r="E4" s="3"/>
      <c r="F4" s="3"/>
      <c r="G4" s="3">
        <f>23.81+35+75</f>
        <v>133.81</v>
      </c>
      <c r="H4" s="25" t="s">
        <v>100</v>
      </c>
      <c r="I4" s="33">
        <f t="shared" si="0"/>
        <v>133.81</v>
      </c>
      <c r="J4" s="1"/>
      <c r="K4" s="2"/>
      <c r="L4" s="1"/>
    </row>
    <row r="5" spans="1:13" ht="15.75" x14ac:dyDescent="0.25">
      <c r="A5" s="17">
        <v>4</v>
      </c>
      <c r="B5" s="6"/>
      <c r="C5" s="3"/>
      <c r="D5" s="3"/>
      <c r="E5" s="3"/>
      <c r="F5" s="3"/>
      <c r="G5" s="3">
        <f>36+2+3.5</f>
        <v>41.5</v>
      </c>
      <c r="H5" s="25" t="s">
        <v>99</v>
      </c>
      <c r="I5" s="33">
        <f t="shared" si="0"/>
        <v>41.5</v>
      </c>
      <c r="J5" s="1"/>
      <c r="K5" s="2"/>
      <c r="L5" s="1"/>
    </row>
    <row r="6" spans="1:13" ht="15.75" x14ac:dyDescent="0.25">
      <c r="A6" s="17">
        <v>5</v>
      </c>
      <c r="B6" s="6"/>
      <c r="C6" s="3">
        <v>34.700000000000003</v>
      </c>
      <c r="D6" s="3"/>
      <c r="E6" s="3"/>
      <c r="F6" s="3"/>
      <c r="G6" s="3"/>
      <c r="H6" s="25"/>
      <c r="I6" s="33">
        <f t="shared" si="0"/>
        <v>34.700000000000003</v>
      </c>
      <c r="J6" s="1"/>
      <c r="K6" s="2"/>
      <c r="L6" s="1"/>
    </row>
    <row r="7" spans="1:13" ht="15.75" x14ac:dyDescent="0.25">
      <c r="A7" s="55">
        <v>6</v>
      </c>
      <c r="B7" s="6"/>
      <c r="C7" s="3"/>
      <c r="D7" s="3">
        <v>40</v>
      </c>
      <c r="E7" s="3">
        <v>13</v>
      </c>
      <c r="F7" s="3"/>
      <c r="G7" s="3"/>
      <c r="H7" s="25" t="s">
        <v>101</v>
      </c>
      <c r="I7" s="33">
        <f t="shared" si="0"/>
        <v>53</v>
      </c>
      <c r="J7" s="1"/>
      <c r="K7" s="2"/>
      <c r="L7" s="1"/>
      <c r="M7" s="79"/>
    </row>
    <row r="8" spans="1:13" ht="15.75" x14ac:dyDescent="0.25">
      <c r="A8" s="55">
        <v>7</v>
      </c>
      <c r="B8" s="6"/>
      <c r="C8" s="3">
        <v>5.0999999999999996</v>
      </c>
      <c r="D8" s="3"/>
      <c r="E8" s="3">
        <v>-18.600000000000001</v>
      </c>
      <c r="F8" s="3"/>
      <c r="G8" s="3"/>
      <c r="H8" s="25"/>
      <c r="I8" s="33">
        <f t="shared" si="0"/>
        <v>-13.500000000000002</v>
      </c>
      <c r="J8" s="1"/>
      <c r="K8" s="2"/>
      <c r="L8" s="1"/>
      <c r="M8" s="79"/>
    </row>
    <row r="9" spans="1:13" ht="15.75" x14ac:dyDescent="0.25">
      <c r="A9" s="17">
        <v>8</v>
      </c>
      <c r="B9" s="6"/>
      <c r="C9" s="3"/>
      <c r="D9" s="3"/>
      <c r="E9" s="3"/>
      <c r="F9" s="3"/>
      <c r="G9" s="3"/>
      <c r="H9" s="25"/>
      <c r="I9" s="33">
        <f t="shared" si="0"/>
        <v>0</v>
      </c>
      <c r="J9" s="1"/>
      <c r="K9" s="2"/>
      <c r="L9" s="1"/>
      <c r="M9" s="79"/>
    </row>
    <row r="10" spans="1:13" ht="15.75" x14ac:dyDescent="0.25">
      <c r="A10" s="17">
        <v>9</v>
      </c>
      <c r="B10" s="6"/>
      <c r="C10" s="3"/>
      <c r="D10" s="3"/>
      <c r="E10" s="3"/>
      <c r="F10" s="3"/>
      <c r="G10" s="3"/>
      <c r="H10" s="25"/>
      <c r="I10" s="33">
        <f t="shared" si="0"/>
        <v>0</v>
      </c>
      <c r="J10" s="1"/>
      <c r="K10" s="2"/>
      <c r="L10" s="78"/>
      <c r="M10" s="79"/>
    </row>
    <row r="11" spans="1:13" ht="15.75" x14ac:dyDescent="0.25">
      <c r="A11" s="17">
        <v>10</v>
      </c>
      <c r="B11" s="6"/>
      <c r="C11" s="3"/>
      <c r="D11" s="3"/>
      <c r="E11" s="3"/>
      <c r="F11" s="3"/>
      <c r="G11" s="3">
        <v>79</v>
      </c>
      <c r="H11" s="25" t="s">
        <v>102</v>
      </c>
      <c r="I11" s="33">
        <f t="shared" si="0"/>
        <v>79</v>
      </c>
      <c r="J11" s="1"/>
      <c r="K11" s="2"/>
      <c r="L11" s="1"/>
    </row>
    <row r="12" spans="1:13" ht="16.5" thickBot="1" x14ac:dyDescent="0.3">
      <c r="A12" s="17">
        <v>11</v>
      </c>
      <c r="B12" s="6">
        <v>10</v>
      </c>
      <c r="C12" s="3"/>
      <c r="D12" s="3"/>
      <c r="E12" s="3"/>
      <c r="F12" s="3"/>
      <c r="G12" s="3">
        <v>4</v>
      </c>
      <c r="H12" s="25"/>
      <c r="I12" s="33">
        <f t="shared" si="0"/>
        <v>14</v>
      </c>
      <c r="J12" s="1"/>
      <c r="K12" s="2"/>
      <c r="L12" s="1"/>
      <c r="M12" s="79"/>
    </row>
    <row r="13" spans="1:13" ht="16.5" thickBot="1" x14ac:dyDescent="0.3">
      <c r="A13" s="17">
        <v>12</v>
      </c>
      <c r="B13" s="6"/>
      <c r="C13" s="3">
        <f>27-13.7</f>
        <v>13.3</v>
      </c>
      <c r="D13" s="3"/>
      <c r="E13" s="3">
        <v>13.75</v>
      </c>
      <c r="F13" s="3">
        <v>27</v>
      </c>
      <c r="G13" s="3"/>
      <c r="H13" s="102" t="s">
        <v>103</v>
      </c>
      <c r="I13" s="33">
        <f t="shared" si="0"/>
        <v>54.05</v>
      </c>
      <c r="J13" s="1"/>
      <c r="K13" s="81" t="s">
        <v>6</v>
      </c>
      <c r="L13" s="20">
        <v>1980</v>
      </c>
      <c r="M13" s="80"/>
    </row>
    <row r="14" spans="1:13" ht="15.75" x14ac:dyDescent="0.25">
      <c r="A14" s="55">
        <v>13</v>
      </c>
      <c r="B14" s="6"/>
      <c r="C14" s="3"/>
      <c r="D14" s="3"/>
      <c r="E14" s="3"/>
      <c r="F14" s="3"/>
      <c r="G14" s="3"/>
      <c r="H14" s="25"/>
      <c r="I14" s="33">
        <f t="shared" si="0"/>
        <v>0</v>
      </c>
      <c r="J14" s="1"/>
      <c r="K14" s="82" t="s">
        <v>7</v>
      </c>
      <c r="L14" s="84">
        <f>SUM(B33:H33)+K2+L2</f>
        <v>912.1</v>
      </c>
      <c r="M14" s="87">
        <f>L14*100/L13/100</f>
        <v>0.46065656565656565</v>
      </c>
    </row>
    <row r="15" spans="1:13" ht="15.75" x14ac:dyDescent="0.25">
      <c r="A15" s="55">
        <v>14</v>
      </c>
      <c r="B15" s="6"/>
      <c r="C15" s="3"/>
      <c r="D15" s="3"/>
      <c r="E15" s="3">
        <v>13.5</v>
      </c>
      <c r="F15" s="3"/>
      <c r="G15" s="3"/>
      <c r="H15" s="25"/>
      <c r="I15" s="33">
        <f t="shared" si="0"/>
        <v>13.5</v>
      </c>
      <c r="J15" s="1"/>
      <c r="K15" s="13"/>
      <c r="L15" s="85"/>
      <c r="M15" s="86"/>
    </row>
    <row r="16" spans="1:13" ht="16.5" thickBot="1" x14ac:dyDescent="0.3">
      <c r="A16" s="17">
        <v>15</v>
      </c>
      <c r="B16" s="6">
        <v>16.489999999999998</v>
      </c>
      <c r="C16" s="3"/>
      <c r="D16" s="3"/>
      <c r="E16" s="3"/>
      <c r="F16" s="3"/>
      <c r="G16" s="3"/>
      <c r="H16" s="25"/>
      <c r="I16" s="33">
        <f t="shared" si="0"/>
        <v>16.489999999999998</v>
      </c>
      <c r="J16" s="1"/>
      <c r="K16" s="83" t="s">
        <v>8</v>
      </c>
      <c r="L16" s="11">
        <f>L13-L14</f>
        <v>1067.9000000000001</v>
      </c>
      <c r="M16" s="88">
        <f>(L16*100/L13)/100</f>
        <v>0.53934343434343435</v>
      </c>
    </row>
    <row r="17" spans="1:12" ht="15.75" x14ac:dyDescent="0.25">
      <c r="A17" s="17">
        <v>16</v>
      </c>
      <c r="B17" s="6"/>
      <c r="C17" s="3"/>
      <c r="D17" s="3"/>
      <c r="E17" s="3"/>
      <c r="F17" s="3"/>
      <c r="G17" s="3"/>
      <c r="H17" s="25"/>
      <c r="I17" s="33">
        <f t="shared" si="0"/>
        <v>0</v>
      </c>
      <c r="J17" s="1"/>
      <c r="K17" s="1"/>
      <c r="L17" s="1"/>
    </row>
    <row r="18" spans="1:12" ht="15.75" x14ac:dyDescent="0.25">
      <c r="A18" s="17">
        <v>17</v>
      </c>
      <c r="B18" s="6"/>
      <c r="C18" s="3"/>
      <c r="D18" s="3"/>
      <c r="E18" s="3"/>
      <c r="F18" s="3"/>
      <c r="G18" s="3"/>
      <c r="H18" s="25"/>
      <c r="I18" s="33">
        <f t="shared" si="0"/>
        <v>0</v>
      </c>
      <c r="J18" s="1"/>
      <c r="K18" s="1"/>
      <c r="L18" s="1"/>
    </row>
    <row r="19" spans="1:12" ht="15.75" x14ac:dyDescent="0.25">
      <c r="A19" s="17">
        <v>18</v>
      </c>
      <c r="B19" s="6"/>
      <c r="C19" s="3"/>
      <c r="D19" s="3"/>
      <c r="E19" s="3"/>
      <c r="F19" s="3"/>
      <c r="G19" s="3"/>
      <c r="H19" s="25"/>
      <c r="I19" s="33">
        <f t="shared" si="0"/>
        <v>0</v>
      </c>
      <c r="J19" s="1"/>
      <c r="K19" s="1"/>
      <c r="L19" s="1"/>
    </row>
    <row r="20" spans="1:12" ht="15.75" x14ac:dyDescent="0.25">
      <c r="A20" s="17">
        <v>19</v>
      </c>
      <c r="B20" s="6"/>
      <c r="C20" s="3">
        <v>20</v>
      </c>
      <c r="D20" s="3"/>
      <c r="E20" s="3"/>
      <c r="F20" s="3"/>
      <c r="G20" s="3"/>
      <c r="H20" s="25"/>
      <c r="I20" s="33">
        <f t="shared" si="0"/>
        <v>20</v>
      </c>
      <c r="J20" s="1"/>
      <c r="K20" s="1"/>
      <c r="L20" s="1"/>
    </row>
    <row r="21" spans="1:12" ht="15.75" x14ac:dyDescent="0.25">
      <c r="A21" s="55">
        <v>20</v>
      </c>
      <c r="B21" s="6"/>
      <c r="C21" s="3"/>
      <c r="D21" s="3"/>
      <c r="E21" s="3"/>
      <c r="F21" s="3">
        <v>2.4</v>
      </c>
      <c r="G21" s="3"/>
      <c r="H21" s="25"/>
      <c r="I21" s="33">
        <f t="shared" si="0"/>
        <v>2.4</v>
      </c>
      <c r="J21" s="1"/>
      <c r="K21" s="1"/>
      <c r="L21" s="1"/>
    </row>
    <row r="22" spans="1:12" ht="15.75" x14ac:dyDescent="0.25">
      <c r="A22" s="55">
        <v>21</v>
      </c>
      <c r="B22" s="6"/>
      <c r="C22" s="3"/>
      <c r="D22" s="3"/>
      <c r="E22" s="3"/>
      <c r="F22" s="3"/>
      <c r="G22" s="3"/>
      <c r="H22" s="25"/>
      <c r="I22" s="33">
        <f t="shared" si="0"/>
        <v>0</v>
      </c>
      <c r="J22" s="1"/>
      <c r="K22" s="1"/>
      <c r="L22" s="1"/>
    </row>
    <row r="23" spans="1:12" ht="15.75" x14ac:dyDescent="0.25">
      <c r="A23" s="17">
        <v>22</v>
      </c>
      <c r="B23" s="6">
        <f>4.1+4.47</f>
        <v>8.57</v>
      </c>
      <c r="C23" s="3"/>
      <c r="D23" s="3"/>
      <c r="E23" s="3"/>
      <c r="F23" s="3"/>
      <c r="G23" s="3"/>
      <c r="H23" s="25"/>
      <c r="I23" s="33">
        <f t="shared" si="0"/>
        <v>8.57</v>
      </c>
      <c r="J23" s="1"/>
      <c r="K23" s="1"/>
      <c r="L23" s="1"/>
    </row>
    <row r="24" spans="1:12" ht="15.75" x14ac:dyDescent="0.25">
      <c r="A24" s="17">
        <v>23</v>
      </c>
      <c r="B24" s="6"/>
      <c r="C24" s="3"/>
      <c r="D24" s="3"/>
      <c r="E24" s="3"/>
      <c r="F24" s="3"/>
      <c r="G24" s="3"/>
      <c r="H24" s="25"/>
      <c r="I24" s="33">
        <f t="shared" si="0"/>
        <v>0</v>
      </c>
      <c r="J24" s="1"/>
      <c r="K24" s="1"/>
      <c r="L24" s="1"/>
    </row>
    <row r="25" spans="1:12" ht="15.75" x14ac:dyDescent="0.25">
      <c r="A25" s="17">
        <v>24</v>
      </c>
      <c r="B25" s="6">
        <v>8.9</v>
      </c>
      <c r="C25" s="3"/>
      <c r="D25" s="3">
        <v>40</v>
      </c>
      <c r="E25" s="3"/>
      <c r="F25" s="3"/>
      <c r="G25" s="3">
        <v>1</v>
      </c>
      <c r="H25" s="25"/>
      <c r="I25" s="33">
        <f t="shared" si="0"/>
        <v>49.9</v>
      </c>
      <c r="J25" s="1"/>
      <c r="K25" s="1"/>
      <c r="L25" s="1"/>
    </row>
    <row r="26" spans="1:12" ht="15.75" x14ac:dyDescent="0.25">
      <c r="A26" s="17">
        <v>25</v>
      </c>
      <c r="B26" s="6"/>
      <c r="C26" s="3"/>
      <c r="D26" s="3"/>
      <c r="E26" s="3"/>
      <c r="F26" s="3"/>
      <c r="G26" s="3"/>
      <c r="H26" s="25"/>
      <c r="I26" s="33">
        <f t="shared" si="0"/>
        <v>0</v>
      </c>
      <c r="J26" s="1"/>
      <c r="K26" s="1"/>
      <c r="L26" s="1"/>
    </row>
    <row r="27" spans="1:12" ht="15.75" x14ac:dyDescent="0.25">
      <c r="A27" s="17">
        <v>26</v>
      </c>
      <c r="B27" s="6"/>
      <c r="C27" s="3"/>
      <c r="D27" s="3">
        <v>10</v>
      </c>
      <c r="E27" s="3"/>
      <c r="F27" s="3"/>
      <c r="G27" s="3"/>
      <c r="H27" s="25"/>
      <c r="I27" s="33">
        <f t="shared" si="0"/>
        <v>10</v>
      </c>
      <c r="J27" s="1"/>
      <c r="K27" s="1"/>
      <c r="L27" s="1"/>
    </row>
    <row r="28" spans="1:12" ht="15.75" x14ac:dyDescent="0.25">
      <c r="A28" s="55">
        <v>27</v>
      </c>
      <c r="B28" s="6"/>
      <c r="C28" s="3"/>
      <c r="D28" s="3"/>
      <c r="E28" s="3"/>
      <c r="F28" s="3">
        <v>2.7</v>
      </c>
      <c r="G28" s="3"/>
      <c r="H28" s="25"/>
      <c r="I28" s="33">
        <f t="shared" si="0"/>
        <v>2.7</v>
      </c>
      <c r="J28" s="1"/>
      <c r="K28" s="1"/>
      <c r="L28" s="1"/>
    </row>
    <row r="29" spans="1:12" ht="15.75" x14ac:dyDescent="0.25">
      <c r="A29" s="55">
        <v>28</v>
      </c>
      <c r="B29" s="6"/>
      <c r="C29" s="3"/>
      <c r="D29" s="3"/>
      <c r="E29" s="3"/>
      <c r="F29" s="3">
        <v>4.7</v>
      </c>
      <c r="G29" s="3"/>
      <c r="H29" s="25"/>
      <c r="I29" s="33">
        <f t="shared" si="0"/>
        <v>4.7</v>
      </c>
      <c r="J29" s="1"/>
      <c r="K29" s="1"/>
      <c r="L29" s="1"/>
    </row>
    <row r="30" spans="1:12" ht="15.75" x14ac:dyDescent="0.25">
      <c r="A30" s="17">
        <v>29</v>
      </c>
      <c r="B30" s="6"/>
      <c r="C30" s="3"/>
      <c r="D30" s="3"/>
      <c r="E30" s="3"/>
      <c r="F30" s="3"/>
      <c r="G30" s="3">
        <v>100</v>
      </c>
      <c r="H30" s="25" t="s">
        <v>104</v>
      </c>
      <c r="I30" s="33">
        <f t="shared" si="0"/>
        <v>100</v>
      </c>
      <c r="J30" s="1"/>
      <c r="K30" s="1"/>
      <c r="L30" s="1"/>
    </row>
    <row r="31" spans="1:12" ht="15.75" x14ac:dyDescent="0.25">
      <c r="A31" s="17">
        <v>30</v>
      </c>
      <c r="B31" s="6"/>
      <c r="C31" s="3"/>
      <c r="D31" s="3"/>
      <c r="E31" s="3"/>
      <c r="F31" s="3"/>
      <c r="G31" s="3">
        <v>7</v>
      </c>
      <c r="H31" s="25" t="s">
        <v>35</v>
      </c>
      <c r="I31" s="33">
        <f t="shared" si="0"/>
        <v>7</v>
      </c>
      <c r="J31" s="1"/>
      <c r="K31" s="1"/>
      <c r="L31" s="1"/>
    </row>
    <row r="32" spans="1:12" ht="16.5" thickBot="1" x14ac:dyDescent="0.3">
      <c r="A32" s="63">
        <v>31</v>
      </c>
      <c r="B32" s="68"/>
      <c r="C32" s="69"/>
      <c r="D32" s="69"/>
      <c r="E32" s="69"/>
      <c r="F32" s="69"/>
      <c r="G32" s="69"/>
      <c r="H32" s="70"/>
      <c r="I32" s="73">
        <f t="shared" si="0"/>
        <v>0</v>
      </c>
      <c r="J32" s="1"/>
      <c r="K32" s="1"/>
      <c r="L32" s="1"/>
    </row>
    <row r="33" spans="1:9" ht="16.5" thickBot="1" x14ac:dyDescent="0.3">
      <c r="A33" s="9" t="s">
        <v>3</v>
      </c>
      <c r="B33" s="27">
        <f>SUM(B2:B32)</f>
        <v>63.839999999999996</v>
      </c>
      <c r="C33" s="28">
        <f>SUM(C2:C32)</f>
        <v>73.100000000000009</v>
      </c>
      <c r="D33" s="27">
        <f t="shared" ref="D33:H33" si="1">SUM(D2:D32)</f>
        <v>90</v>
      </c>
      <c r="E33" s="28">
        <f t="shared" si="1"/>
        <v>33.049999999999997</v>
      </c>
      <c r="F33" s="28">
        <f t="shared" si="1"/>
        <v>36.800000000000004</v>
      </c>
      <c r="G33" s="27">
        <f t="shared" si="1"/>
        <v>366.31</v>
      </c>
      <c r="H33" s="28">
        <f t="shared" si="1"/>
        <v>0</v>
      </c>
      <c r="I33" s="32">
        <f>SUM(I2:I32)</f>
        <v>663.10000000000014</v>
      </c>
    </row>
  </sheetData>
  <conditionalFormatting sqref="L16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3"/>
  <sheetViews>
    <sheetView topLeftCell="A10" workbookViewId="0">
      <selection activeCell="C31" sqref="C31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3" ht="16.5" thickBot="1" x14ac:dyDescent="0.3">
      <c r="A1" s="60" t="s">
        <v>0</v>
      </c>
      <c r="B1" s="30" t="s">
        <v>25</v>
      </c>
      <c r="C1" s="29" t="s">
        <v>26</v>
      </c>
      <c r="D1" s="30" t="s">
        <v>1</v>
      </c>
      <c r="E1" s="30" t="s">
        <v>9</v>
      </c>
      <c r="F1" s="30" t="s">
        <v>2</v>
      </c>
      <c r="G1" s="30" t="s">
        <v>4</v>
      </c>
      <c r="H1" s="31" t="s">
        <v>5</v>
      </c>
      <c r="I1" s="34" t="s">
        <v>3</v>
      </c>
      <c r="J1" s="1"/>
      <c r="K1" s="10" t="s">
        <v>23</v>
      </c>
      <c r="L1" s="92" t="s">
        <v>27</v>
      </c>
    </row>
    <row r="2" spans="1:13" ht="16.5" thickBot="1" x14ac:dyDescent="0.3">
      <c r="A2" s="17">
        <v>1</v>
      </c>
      <c r="B2" s="58"/>
      <c r="C2" s="56"/>
      <c r="D2" s="5">
        <v>40</v>
      </c>
      <c r="E2" s="4">
        <v>10</v>
      </c>
      <c r="F2" s="4"/>
      <c r="G2" s="4"/>
      <c r="H2" s="24"/>
      <c r="I2" s="33">
        <f>SUM(B2:H2)</f>
        <v>50</v>
      </c>
      <c r="J2" s="93"/>
      <c r="K2" s="94">
        <v>217</v>
      </c>
      <c r="L2" s="16">
        <f>M2-K2</f>
        <v>32.430000000000007</v>
      </c>
      <c r="M2">
        <v>249.43</v>
      </c>
    </row>
    <row r="3" spans="1:13" ht="15.75" x14ac:dyDescent="0.25">
      <c r="A3" s="17">
        <v>2</v>
      </c>
      <c r="B3" s="6">
        <v>2</v>
      </c>
      <c r="C3" s="4"/>
      <c r="D3" s="3"/>
      <c r="E3" s="3"/>
      <c r="F3" s="3"/>
      <c r="G3" s="3"/>
      <c r="H3" s="25"/>
      <c r="I3" s="33">
        <f t="shared" ref="I3:I32" si="0">SUM(B3:H3)</f>
        <v>2</v>
      </c>
      <c r="J3" s="89"/>
      <c r="K3" s="90"/>
      <c r="L3" s="91"/>
      <c r="M3" s="79"/>
    </row>
    <row r="4" spans="1:13" ht="15.75" x14ac:dyDescent="0.25">
      <c r="A4" s="17">
        <v>3</v>
      </c>
      <c r="B4" s="6"/>
      <c r="C4" s="3">
        <v>116</v>
      </c>
      <c r="D4" s="3"/>
      <c r="E4" s="3"/>
      <c r="F4" s="3"/>
      <c r="G4" s="3"/>
      <c r="H4" s="25" t="s">
        <v>105</v>
      </c>
      <c r="I4" s="33">
        <f>SUM(B4:H4)</f>
        <v>116</v>
      </c>
      <c r="J4" s="1"/>
      <c r="K4" s="2"/>
      <c r="L4" s="1"/>
    </row>
    <row r="5" spans="1:13" ht="15.75" x14ac:dyDescent="0.25">
      <c r="A5" s="55">
        <v>4</v>
      </c>
      <c r="B5" s="6"/>
      <c r="C5" s="3"/>
      <c r="D5" s="3"/>
      <c r="E5" s="3"/>
      <c r="F5" s="3"/>
      <c r="G5" s="3"/>
      <c r="H5" s="25"/>
      <c r="I5" s="33">
        <f t="shared" si="0"/>
        <v>0</v>
      </c>
      <c r="J5" s="1"/>
      <c r="K5" s="2"/>
      <c r="L5" s="1"/>
    </row>
    <row r="6" spans="1:13" ht="15.75" x14ac:dyDescent="0.25">
      <c r="A6" s="55">
        <v>5</v>
      </c>
      <c r="B6" s="6"/>
      <c r="C6" s="3"/>
      <c r="D6" s="3"/>
      <c r="E6" s="3"/>
      <c r="F6" s="3"/>
      <c r="G6" s="3"/>
      <c r="H6" s="25"/>
      <c r="I6" s="33">
        <f t="shared" si="0"/>
        <v>0</v>
      </c>
      <c r="J6" s="1"/>
      <c r="K6" s="2"/>
      <c r="L6" s="1"/>
    </row>
    <row r="7" spans="1:13" ht="15.75" x14ac:dyDescent="0.25">
      <c r="A7" s="17">
        <v>6</v>
      </c>
      <c r="B7" s="6">
        <f>34+5+5</f>
        <v>44</v>
      </c>
      <c r="C7" s="3"/>
      <c r="D7" s="3"/>
      <c r="E7" s="3"/>
      <c r="F7" s="3"/>
      <c r="G7" s="3">
        <v>17</v>
      </c>
      <c r="H7" s="25" t="s">
        <v>107</v>
      </c>
      <c r="I7" s="33">
        <f t="shared" si="0"/>
        <v>61</v>
      </c>
      <c r="J7" s="1"/>
      <c r="K7" s="2"/>
      <c r="L7" s="1"/>
      <c r="M7" s="79"/>
    </row>
    <row r="8" spans="1:13" ht="15.75" x14ac:dyDescent="0.25">
      <c r="A8" s="17">
        <v>7</v>
      </c>
      <c r="B8" s="6"/>
      <c r="C8" s="3"/>
      <c r="D8" s="3"/>
      <c r="E8" s="3"/>
      <c r="F8" s="3"/>
      <c r="G8" s="3">
        <v>18</v>
      </c>
      <c r="H8" s="25" t="s">
        <v>106</v>
      </c>
      <c r="I8" s="33">
        <f t="shared" si="0"/>
        <v>18</v>
      </c>
      <c r="J8" s="1"/>
      <c r="K8" s="2"/>
      <c r="L8" s="1"/>
      <c r="M8" s="79"/>
    </row>
    <row r="9" spans="1:13" ht="15.75" x14ac:dyDescent="0.25">
      <c r="A9" s="17">
        <v>8</v>
      </c>
      <c r="B9" s="6"/>
      <c r="C9" s="3"/>
      <c r="D9" s="3"/>
      <c r="E9" s="3"/>
      <c r="F9" s="3"/>
      <c r="G9" s="3">
        <v>37</v>
      </c>
      <c r="H9" s="25" t="s">
        <v>108</v>
      </c>
      <c r="I9" s="33">
        <f t="shared" si="0"/>
        <v>37</v>
      </c>
      <c r="J9" s="1"/>
      <c r="K9" s="2"/>
      <c r="L9" s="1"/>
      <c r="M9" s="79"/>
    </row>
    <row r="10" spans="1:13" ht="15.75" x14ac:dyDescent="0.25">
      <c r="A10" s="17">
        <v>9</v>
      </c>
      <c r="B10" s="6"/>
      <c r="C10" s="3"/>
      <c r="D10" s="3"/>
      <c r="E10" s="3"/>
      <c r="F10" s="3"/>
      <c r="G10" s="3"/>
      <c r="H10" s="25"/>
      <c r="I10" s="33">
        <f t="shared" si="0"/>
        <v>0</v>
      </c>
      <c r="J10" s="1"/>
      <c r="K10" s="2"/>
      <c r="L10" s="78"/>
      <c r="M10" s="79"/>
    </row>
    <row r="11" spans="1:13" ht="15.75" x14ac:dyDescent="0.25">
      <c r="A11" s="17">
        <v>10</v>
      </c>
      <c r="B11" s="6"/>
      <c r="C11" s="3">
        <v>12.7</v>
      </c>
      <c r="D11" s="3"/>
      <c r="E11" s="3"/>
      <c r="F11" s="3">
        <v>5</v>
      </c>
      <c r="G11" s="3">
        <v>5</v>
      </c>
      <c r="H11" s="25"/>
      <c r="I11" s="33">
        <f t="shared" si="0"/>
        <v>22.7</v>
      </c>
      <c r="J11" s="1"/>
      <c r="K11" s="2"/>
      <c r="L11" s="1"/>
    </row>
    <row r="12" spans="1:13" ht="16.5" thickBot="1" x14ac:dyDescent="0.3">
      <c r="A12" s="55">
        <v>11</v>
      </c>
      <c r="B12" s="6"/>
      <c r="C12" s="3">
        <f>6.4+10-3.2</f>
        <v>13.2</v>
      </c>
      <c r="D12" s="3"/>
      <c r="E12" s="3"/>
      <c r="F12" s="3"/>
      <c r="G12" s="3">
        <v>41</v>
      </c>
      <c r="H12" s="25" t="s">
        <v>109</v>
      </c>
      <c r="I12" s="33">
        <f t="shared" si="0"/>
        <v>54.2</v>
      </c>
      <c r="J12" s="1"/>
      <c r="K12" s="2"/>
      <c r="L12" s="1"/>
      <c r="M12" s="79"/>
    </row>
    <row r="13" spans="1:13" ht="16.5" thickBot="1" x14ac:dyDescent="0.3">
      <c r="A13" s="55">
        <v>12</v>
      </c>
      <c r="B13" s="6"/>
      <c r="C13" s="3"/>
      <c r="D13" s="3"/>
      <c r="E13" s="3"/>
      <c r="F13" s="3"/>
      <c r="G13" s="3"/>
      <c r="H13" s="25"/>
      <c r="I13" s="33">
        <f t="shared" si="0"/>
        <v>0</v>
      </c>
      <c r="J13" s="1"/>
      <c r="K13" s="81" t="s">
        <v>6</v>
      </c>
      <c r="L13" s="20">
        <f>1077+1000+50</f>
        <v>2127</v>
      </c>
      <c r="M13" s="80" t="s">
        <v>114</v>
      </c>
    </row>
    <row r="14" spans="1:13" ht="15.75" x14ac:dyDescent="0.25">
      <c r="A14" s="17">
        <v>13</v>
      </c>
      <c r="B14" s="6"/>
      <c r="C14" s="3"/>
      <c r="D14" s="3"/>
      <c r="E14" s="3"/>
      <c r="F14" s="3"/>
      <c r="G14" s="3">
        <v>4</v>
      </c>
      <c r="H14" s="25" t="s">
        <v>30</v>
      </c>
      <c r="I14" s="33">
        <f t="shared" si="0"/>
        <v>4</v>
      </c>
      <c r="J14" s="1"/>
      <c r="K14" s="82" t="s">
        <v>7</v>
      </c>
      <c r="L14" s="84">
        <f>SUM(B33:H33)+K2+L2</f>
        <v>914.77</v>
      </c>
      <c r="M14" s="87">
        <f>L14*100/L13/100</f>
        <v>0.43007522331922898</v>
      </c>
    </row>
    <row r="15" spans="1:13" ht="15.75" x14ac:dyDescent="0.25">
      <c r="A15" s="17">
        <v>14</v>
      </c>
      <c r="B15" s="6">
        <v>3.9</v>
      </c>
      <c r="C15" s="3">
        <f>11.3-5.65</f>
        <v>5.65</v>
      </c>
      <c r="D15" s="3"/>
      <c r="E15" s="3"/>
      <c r="F15" s="3"/>
      <c r="G15" s="3">
        <v>17.16</v>
      </c>
      <c r="H15" s="25" t="s">
        <v>110</v>
      </c>
      <c r="I15" s="33">
        <f t="shared" si="0"/>
        <v>26.71</v>
      </c>
      <c r="J15" s="1"/>
      <c r="K15" s="13"/>
      <c r="L15" s="85"/>
      <c r="M15" s="86"/>
    </row>
    <row r="16" spans="1:13" ht="16.5" thickBot="1" x14ac:dyDescent="0.3">
      <c r="A16" s="17">
        <v>15</v>
      </c>
      <c r="B16" s="6"/>
      <c r="C16" s="3"/>
      <c r="D16" s="3"/>
      <c r="E16" s="3"/>
      <c r="F16" s="3"/>
      <c r="G16" s="3"/>
      <c r="H16" s="25"/>
      <c r="I16" s="33">
        <f t="shared" si="0"/>
        <v>0</v>
      </c>
      <c r="J16" s="1"/>
      <c r="K16" s="83" t="s">
        <v>8</v>
      </c>
      <c r="L16" s="11">
        <f>L13-L14</f>
        <v>1212.23</v>
      </c>
      <c r="M16" s="88">
        <f>(L16*100/L13)/100</f>
        <v>0.56992477668077102</v>
      </c>
    </row>
    <row r="17" spans="1:12" ht="15.75" x14ac:dyDescent="0.25">
      <c r="A17" s="17">
        <v>16</v>
      </c>
      <c r="B17" s="6"/>
      <c r="C17" s="3"/>
      <c r="D17" s="3"/>
      <c r="E17" s="3"/>
      <c r="F17" s="3"/>
      <c r="G17" s="3"/>
      <c r="H17" s="25"/>
      <c r="I17" s="33">
        <f t="shared" si="0"/>
        <v>0</v>
      </c>
      <c r="J17" s="1"/>
      <c r="K17" s="1"/>
      <c r="L17" s="1"/>
    </row>
    <row r="18" spans="1:12" ht="15.75" x14ac:dyDescent="0.25">
      <c r="A18" s="17">
        <v>17</v>
      </c>
      <c r="B18" s="6"/>
      <c r="C18" s="3">
        <v>2</v>
      </c>
      <c r="D18" s="3"/>
      <c r="E18" s="3"/>
      <c r="F18" s="3"/>
      <c r="G18" s="3"/>
      <c r="H18" s="25"/>
      <c r="I18" s="33">
        <f t="shared" si="0"/>
        <v>2</v>
      </c>
      <c r="J18" s="1"/>
      <c r="K18" s="1"/>
      <c r="L18" s="1"/>
    </row>
    <row r="19" spans="1:12" ht="15.75" x14ac:dyDescent="0.25">
      <c r="A19" s="55">
        <v>18</v>
      </c>
      <c r="B19" s="6">
        <v>5.08</v>
      </c>
      <c r="C19" s="3"/>
      <c r="D19" s="3"/>
      <c r="E19" s="3"/>
      <c r="F19" s="3"/>
      <c r="G19" s="3"/>
      <c r="H19" s="25"/>
      <c r="I19" s="33">
        <f t="shared" si="0"/>
        <v>5.08</v>
      </c>
      <c r="J19" s="1"/>
      <c r="K19" s="1"/>
      <c r="L19" s="1"/>
    </row>
    <row r="20" spans="1:12" ht="15.75" x14ac:dyDescent="0.25">
      <c r="A20" s="55">
        <v>19</v>
      </c>
      <c r="B20" s="6"/>
      <c r="C20" s="3"/>
      <c r="D20" s="3"/>
      <c r="E20" s="3"/>
      <c r="F20" s="3"/>
      <c r="G20" s="3">
        <v>4</v>
      </c>
      <c r="H20" s="25" t="s">
        <v>30</v>
      </c>
      <c r="I20" s="33">
        <f t="shared" si="0"/>
        <v>4</v>
      </c>
      <c r="J20" s="1"/>
      <c r="K20" s="1"/>
      <c r="L20" s="1"/>
    </row>
    <row r="21" spans="1:12" ht="15.75" x14ac:dyDescent="0.25">
      <c r="A21" s="17">
        <v>20</v>
      </c>
      <c r="B21" s="6"/>
      <c r="C21" s="3"/>
      <c r="D21" s="3"/>
      <c r="E21" s="3"/>
      <c r="F21" s="3"/>
      <c r="G21" s="3">
        <v>27.5</v>
      </c>
      <c r="H21" s="25" t="s">
        <v>112</v>
      </c>
      <c r="I21" s="33">
        <f t="shared" si="0"/>
        <v>27.5</v>
      </c>
      <c r="J21" s="1"/>
      <c r="K21" s="1"/>
      <c r="L21" s="1"/>
    </row>
    <row r="22" spans="1:12" ht="15.75" x14ac:dyDescent="0.25">
      <c r="A22" s="17">
        <v>21</v>
      </c>
      <c r="B22" s="6"/>
      <c r="C22" s="3"/>
      <c r="D22" s="3">
        <v>40</v>
      </c>
      <c r="E22" s="3"/>
      <c r="F22" s="3"/>
      <c r="G22" s="3">
        <v>-5</v>
      </c>
      <c r="H22" s="25" t="s">
        <v>113</v>
      </c>
      <c r="I22" s="33">
        <f t="shared" si="0"/>
        <v>35</v>
      </c>
      <c r="J22" s="1"/>
      <c r="K22" s="1"/>
      <c r="L22" s="1"/>
    </row>
    <row r="23" spans="1:12" ht="15.75" x14ac:dyDescent="0.25">
      <c r="A23" s="17">
        <v>22</v>
      </c>
      <c r="B23" s="6"/>
      <c r="C23" s="3"/>
      <c r="D23" s="3"/>
      <c r="E23" s="3"/>
      <c r="F23" s="3"/>
      <c r="G23" s="3">
        <v>27.5</v>
      </c>
      <c r="H23" s="25" t="s">
        <v>112</v>
      </c>
      <c r="I23" s="33">
        <f t="shared" si="0"/>
        <v>27.5</v>
      </c>
      <c r="J23" s="1"/>
      <c r="K23" s="1"/>
      <c r="L23" s="1"/>
    </row>
    <row r="24" spans="1:12" ht="15.75" x14ac:dyDescent="0.25">
      <c r="A24" s="17">
        <v>23</v>
      </c>
      <c r="B24" s="6"/>
      <c r="C24" s="3">
        <v>4.55</v>
      </c>
      <c r="D24" s="3"/>
      <c r="E24" s="3">
        <v>10</v>
      </c>
      <c r="F24" s="3"/>
      <c r="G24" s="3"/>
      <c r="H24" s="25" t="s">
        <v>116</v>
      </c>
      <c r="I24" s="33">
        <f t="shared" si="0"/>
        <v>14.55</v>
      </c>
      <c r="J24" s="1"/>
      <c r="K24" s="1"/>
      <c r="L24" s="1"/>
    </row>
    <row r="25" spans="1:12" ht="15.75" x14ac:dyDescent="0.25">
      <c r="A25" s="17">
        <v>24</v>
      </c>
      <c r="B25" s="6"/>
      <c r="C25" s="3"/>
      <c r="D25" s="3"/>
      <c r="E25" s="3"/>
      <c r="F25" s="3">
        <v>2</v>
      </c>
      <c r="G25" s="3">
        <v>5</v>
      </c>
      <c r="H25" s="25" t="s">
        <v>115</v>
      </c>
      <c r="I25" s="33">
        <f t="shared" si="0"/>
        <v>7</v>
      </c>
      <c r="J25" s="1"/>
      <c r="K25" s="1"/>
      <c r="L25" s="1"/>
    </row>
    <row r="26" spans="1:12" ht="15.75" x14ac:dyDescent="0.25">
      <c r="A26" s="55">
        <v>25</v>
      </c>
      <c r="B26" s="6"/>
      <c r="C26" s="3"/>
      <c r="D26" s="3"/>
      <c r="E26" s="3"/>
      <c r="F26" s="3"/>
      <c r="G26" s="3"/>
      <c r="H26" s="25"/>
      <c r="I26" s="33">
        <f t="shared" si="0"/>
        <v>0</v>
      </c>
      <c r="J26" s="1"/>
      <c r="K26" s="1"/>
      <c r="L26" s="1"/>
    </row>
    <row r="27" spans="1:12" ht="15.75" x14ac:dyDescent="0.25">
      <c r="A27" s="55">
        <v>26</v>
      </c>
      <c r="B27" s="6"/>
      <c r="C27" s="3"/>
      <c r="D27" s="3"/>
      <c r="E27" s="3"/>
      <c r="F27" s="3"/>
      <c r="G27" s="3"/>
      <c r="H27" s="25"/>
      <c r="I27" s="33">
        <f t="shared" si="0"/>
        <v>0</v>
      </c>
      <c r="J27" s="1"/>
      <c r="K27" s="1"/>
      <c r="L27" s="1"/>
    </row>
    <row r="28" spans="1:12" ht="15.75" x14ac:dyDescent="0.25">
      <c r="A28" s="17">
        <v>27</v>
      </c>
      <c r="B28" s="6"/>
      <c r="C28" s="3"/>
      <c r="D28" s="3"/>
      <c r="E28" s="3"/>
      <c r="F28" s="3"/>
      <c r="G28" s="3"/>
      <c r="H28" s="25"/>
      <c r="I28" s="33">
        <f t="shared" si="0"/>
        <v>0</v>
      </c>
      <c r="J28" s="1"/>
      <c r="K28" s="1"/>
      <c r="L28" s="1"/>
    </row>
    <row r="29" spans="1:12" ht="15.75" x14ac:dyDescent="0.25">
      <c r="A29" s="17">
        <v>28</v>
      </c>
      <c r="B29" s="6"/>
      <c r="C29" s="3">
        <f>8.8-1.7</f>
        <v>7.1000000000000005</v>
      </c>
      <c r="D29" s="3"/>
      <c r="E29" s="3"/>
      <c r="F29" s="3"/>
      <c r="G29" s="3"/>
      <c r="H29" s="25" t="s">
        <v>117</v>
      </c>
      <c r="I29" s="33">
        <f t="shared" si="0"/>
        <v>7.1000000000000005</v>
      </c>
      <c r="J29" s="1"/>
      <c r="K29" s="1"/>
      <c r="L29" s="1"/>
    </row>
    <row r="30" spans="1:12" ht="15.75" x14ac:dyDescent="0.25">
      <c r="A30" s="17">
        <v>29</v>
      </c>
      <c r="B30" s="6"/>
      <c r="C30" s="3">
        <f>64-32-15</f>
        <v>17</v>
      </c>
      <c r="D30" s="3"/>
      <c r="E30" s="3"/>
      <c r="F30" s="3"/>
      <c r="G30" s="3">
        <v>81</v>
      </c>
      <c r="H30" s="25" t="s">
        <v>118</v>
      </c>
      <c r="I30" s="33">
        <f t="shared" si="0"/>
        <v>98</v>
      </c>
      <c r="J30" s="1"/>
      <c r="K30" s="1"/>
      <c r="L30" s="1"/>
    </row>
    <row r="31" spans="1:12" ht="15.75" x14ac:dyDescent="0.25">
      <c r="A31" s="17">
        <v>30</v>
      </c>
      <c r="B31" s="6"/>
      <c r="C31" s="3"/>
      <c r="D31" s="3"/>
      <c r="E31" s="3"/>
      <c r="F31" s="3"/>
      <c r="G31" s="3"/>
      <c r="H31" s="25"/>
      <c r="I31" s="33">
        <f t="shared" si="0"/>
        <v>0</v>
      </c>
      <c r="J31" s="1"/>
      <c r="K31" s="1"/>
      <c r="L31" s="1"/>
    </row>
    <row r="32" spans="1:12" ht="16.5" thickBot="1" x14ac:dyDescent="0.3">
      <c r="A32" s="17">
        <v>31</v>
      </c>
      <c r="B32" s="7"/>
      <c r="C32" s="8"/>
      <c r="D32" s="8"/>
      <c r="E32" s="8"/>
      <c r="F32" s="8">
        <f>10+12+20</f>
        <v>42</v>
      </c>
      <c r="G32" s="8">
        <v>4</v>
      </c>
      <c r="H32" s="26"/>
      <c r="I32" s="33">
        <f t="shared" si="0"/>
        <v>46</v>
      </c>
      <c r="J32" s="1"/>
      <c r="K32" s="1"/>
      <c r="L32" s="1"/>
    </row>
    <row r="33" spans="1:9" ht="16.5" thickBot="1" x14ac:dyDescent="0.3">
      <c r="A33" s="9" t="s">
        <v>3</v>
      </c>
      <c r="B33" s="27">
        <f>SUM(B2:B32)</f>
        <v>54.98</v>
      </c>
      <c r="C33" s="28">
        <f>SUM(C2:C32)</f>
        <v>178.2</v>
      </c>
      <c r="D33" s="27">
        <f t="shared" ref="D33:H33" si="1">SUM(D2:D32)</f>
        <v>80</v>
      </c>
      <c r="E33" s="28">
        <f t="shared" si="1"/>
        <v>20</v>
      </c>
      <c r="F33" s="28">
        <f t="shared" si="1"/>
        <v>49</v>
      </c>
      <c r="G33" s="27">
        <f t="shared" si="1"/>
        <v>283.15999999999997</v>
      </c>
      <c r="H33" s="28">
        <f t="shared" si="1"/>
        <v>0</v>
      </c>
      <c r="I33" s="32">
        <f>SUM(I2:I32)</f>
        <v>665.34</v>
      </c>
    </row>
  </sheetData>
  <conditionalFormatting sqref="L1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Saldo</vt:lpstr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Zambras</dc:creator>
  <cp:lastModifiedBy>Caniceiro David (BrgP/MFE33.4)</cp:lastModifiedBy>
  <dcterms:created xsi:type="dcterms:W3CDTF">2019-02-11T17:59:30Z</dcterms:created>
  <dcterms:modified xsi:type="dcterms:W3CDTF">2026-04-17T11:46:15Z</dcterms:modified>
</cp:coreProperties>
</file>